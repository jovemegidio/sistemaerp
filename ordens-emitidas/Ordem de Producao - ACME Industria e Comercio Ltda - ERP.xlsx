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310" activeTab="1"/>
  </bookViews>
  <sheets>
    <sheet sheetId="1" name="VENDAS_PCP" state="visible" r:id="rId4"/>
    <sheet sheetId="3" name="PRODUÇÃO" state="visible" r:id="rId5"/>
  </sheets>
  <definedNames>
    <definedName name="_xlnm.Print_Area" localSheetId="0">'VENDAS_PCP'!$A1:$J54</definedName>
    <definedName name="_xlnm.Print_Area" localSheetId="1">'PRODUÇÃO'!$A1:$J64</definedName>
  </definedNames>
  <calcPr calcId="171027"/>
</workbook>
</file>

<file path=xl/sharedStrings.xml><?xml version="1.0" encoding="utf-8"?>
<sst xmlns="http://schemas.openxmlformats.org/spreadsheetml/2006/main" count="963" uniqueCount="422">
  <si>
    <t xml:space="preserve">                                                                                                                                                   ALUFORCE LTDA.  RUA ERNESTINA 270 - VILA SÃO JOÃO  - 08537400 -                   FERRAZ DE VASCONCELOS - SP</t>
  </si>
  <si>
    <t>Orçamento:</t>
  </si>
  <si>
    <t>ORC-TESTE-2025</t>
  </si>
  <si>
    <t>Revisão:</t>
  </si>
  <si>
    <t>Pedido:</t>
  </si>
  <si>
    <t>PED-TESTE-2025</t>
  </si>
  <si>
    <t xml:space="preserve">Dt. liberação: </t>
  </si>
  <si>
    <t>VENDEDOR:</t>
  </si>
  <si>
    <t>Carlos Silva</t>
  </si>
  <si>
    <t>Prazo de entrega:</t>
  </si>
  <si>
    <t>15 dias uteis</t>
  </si>
  <si>
    <t>;</t>
  </si>
  <si>
    <t>Cliente:</t>
  </si>
  <si>
    <t>ACME Industria e Comercio Ltda</t>
  </si>
  <si>
    <t>Contato:</t>
  </si>
  <si>
    <t>Joao da Silva</t>
  </si>
  <si>
    <t>Fone:</t>
  </si>
  <si>
    <t>Email:</t>
  </si>
  <si>
    <t>joao@acme.com.br</t>
  </si>
  <si>
    <t>Frete:</t>
  </si>
  <si>
    <t>CIF</t>
  </si>
  <si>
    <t>Dados da transportadora:</t>
  </si>
  <si>
    <t xml:space="preserve">Frete </t>
  </si>
  <si>
    <t>Embalagens</t>
  </si>
  <si>
    <t>Forma de Pagamento</t>
  </si>
  <si>
    <t>Método de Pagamento</t>
  </si>
  <si>
    <t>%</t>
  </si>
  <si>
    <t>Nome:</t>
  </si>
  <si>
    <t>Trans Express</t>
  </si>
  <si>
    <t>FOB</t>
  </si>
  <si>
    <t>Bobina</t>
  </si>
  <si>
    <t>Á VISTA</t>
  </si>
  <si>
    <t>TRANSFERÊNCIA</t>
  </si>
  <si>
    <t>Cep:</t>
  </si>
  <si>
    <t>01310-100</t>
  </si>
  <si>
    <t>Endereço:</t>
  </si>
  <si>
    <t>Av Paulista 1000</t>
  </si>
  <si>
    <t>Rolo</t>
  </si>
  <si>
    <t>PARCELADO</t>
  </si>
  <si>
    <t>DEPÓSITO</t>
  </si>
  <si>
    <t>Dados para cobrança:</t>
  </si>
  <si>
    <t/>
  </si>
  <si>
    <t>nfe@transexpress.com.br</t>
  </si>
  <si>
    <t>Lance</t>
  </si>
  <si>
    <t>ANTECIPADO</t>
  </si>
  <si>
    <t>FATURAMENTO</t>
  </si>
  <si>
    <t>CPF/CNPJ:</t>
  </si>
  <si>
    <t>12345678000199</t>
  </si>
  <si>
    <t>E-mail Nfe:</t>
  </si>
  <si>
    <t>caixa</t>
  </si>
  <si>
    <t>ENTREGA</t>
  </si>
  <si>
    <t xml:space="preserve">Cod. </t>
  </si>
  <si>
    <t>Produto</t>
  </si>
  <si>
    <t>Embalagem:</t>
  </si>
  <si>
    <t>Lance(s)</t>
  </si>
  <si>
    <t>Qtd.</t>
  </si>
  <si>
    <t>V. Un. R$</t>
  </si>
  <si>
    <t>V. Total. R$</t>
  </si>
  <si>
    <t>DUN16</t>
  </si>
  <si>
    <t>500m</t>
  </si>
  <si>
    <t>VENDEDOR</t>
  </si>
  <si>
    <t>PRODUTO</t>
  </si>
  <si>
    <t>DESCRIÇÃO</t>
  </si>
  <si>
    <t>TRN50</t>
  </si>
  <si>
    <t>300m</t>
  </si>
  <si>
    <t>Renata Alves</t>
  </si>
  <si>
    <t>DUN10</t>
  </si>
  <si>
    <t>ALUFORCE CB DUPLEX 10mm² NEUTRO NÚ</t>
  </si>
  <si>
    <t>Augusto Ladeira</t>
  </si>
  <si>
    <t>ALUFORCE CB DUPLEX 16mm² NEUTRO NÚ</t>
  </si>
  <si>
    <t>Fabíola Souza</t>
  </si>
  <si>
    <t>DUN25</t>
  </si>
  <si>
    <t>ALUFORCE CB DUPLEX 25mm² NEUTRO NÚ</t>
  </si>
  <si>
    <t>Tainá Freitas</t>
  </si>
  <si>
    <t>DUN35</t>
  </si>
  <si>
    <t>ALUFORCE CB DUPLEX 35mm² NEUTRO NÚ</t>
  </si>
  <si>
    <t>Ariel Silva</t>
  </si>
  <si>
    <t>DUN50</t>
  </si>
  <si>
    <t>ALUFORCE CB DUPLEX 50mm² NEUTRO NÚ</t>
  </si>
  <si>
    <t>Marcia Scarcella</t>
  </si>
  <si>
    <t>DUI10</t>
  </si>
  <si>
    <t>ALUFORCE CB DUPLEX 10mm² NEUTRO ISOLADO</t>
  </si>
  <si>
    <t>Andréia Trovão</t>
  </si>
  <si>
    <t>DUI16</t>
  </si>
  <si>
    <t>ALUFORCE CB DUPLEX 16mm² NEUTRO ISOLADO</t>
  </si>
  <si>
    <t>Marcos Oliveira</t>
  </si>
  <si>
    <t>DUI25</t>
  </si>
  <si>
    <t>ALUFORCE CB DUPLEX 25mm² NEUTRO ISOLADO</t>
  </si>
  <si>
    <t>DUI35</t>
  </si>
  <si>
    <t>ALUFORCE CB DUPLEX 35mm² NEUTRO ISOLADO</t>
  </si>
  <si>
    <t>DUI50</t>
  </si>
  <si>
    <t>ALUFORCE CB DUPLEX 50mm² NEUTRO ISOLADO</t>
  </si>
  <si>
    <t>TRN10</t>
  </si>
  <si>
    <t>ALUFORCE CB TRIPLEX 10mm² NEUTRO NÚ</t>
  </si>
  <si>
    <t>TRN16</t>
  </si>
  <si>
    <t>ALUFORCE CB TRIPLEX 16mm² NEUTRO NÚ</t>
  </si>
  <si>
    <t>TRN25</t>
  </si>
  <si>
    <t>ALUFORCE CB TRIPLEX 25mm² NEUTRO NÚ</t>
  </si>
  <si>
    <t>TRN35</t>
  </si>
  <si>
    <t>ALUFORCE CB TRIPLEX 35mm² NEUTRO NÚ</t>
  </si>
  <si>
    <t>TRN50/35</t>
  </si>
  <si>
    <t>ALUFORCE CB TRIPLEX 50mm² + 35mm² NEUTRO NÚ</t>
  </si>
  <si>
    <t>Total do Pedido:$</t>
  </si>
  <si>
    <t>ALUFORCE CB TRIPLEX 50mm² NEUTRO NÚ</t>
  </si>
  <si>
    <t>TRN70</t>
  </si>
  <si>
    <t>ALUFORCE CB TRIPLEX 70mm² NEUTRO NÚ</t>
  </si>
  <si>
    <t>Observações do Pedido</t>
  </si>
  <si>
    <t>TRN95/70</t>
  </si>
  <si>
    <t>ALUFORCE CB TRIPLEX 95mm² + 70mm² NEUTRO NÚ</t>
  </si>
  <si>
    <t>TRN95</t>
  </si>
  <si>
    <t>ALUFORCE CB TRIPLEX 95mm² NEUTRO NÚ</t>
  </si>
  <si>
    <t>TRN120/70</t>
  </si>
  <si>
    <t>ALUFORCE CB TRIPLEX 120mm² + 70mm² NEUTRO NÚ</t>
  </si>
  <si>
    <t>TRN120/95</t>
  </si>
  <si>
    <t>ALUFORCE CB TRIPLEX 120mm² + 95mm² NEUTRO NÚ</t>
  </si>
  <si>
    <t>TRN120</t>
  </si>
  <si>
    <t>ALUFORCE CB TRIPLEX 120mm² NEUTRO NÚ</t>
  </si>
  <si>
    <t>TRN150/95</t>
  </si>
  <si>
    <t>ALUFORCE CB TRIPLEX 150mm² + 95mm² NEUTRO NÚ</t>
  </si>
  <si>
    <t>TRN150/120</t>
  </si>
  <si>
    <t>ALUFORCE CB TRIPLEX 150mm² + 120mm² NEUTRO NÚ</t>
  </si>
  <si>
    <t>CONDIÇOES DE PAGAMENTO.</t>
  </si>
  <si>
    <t>TRN150</t>
  </si>
  <si>
    <t>ALUFORCE CB TRIPLEX 150mm² NEUTRO NÚ</t>
  </si>
  <si>
    <t>FORMAS DE PAGAMENTO</t>
  </si>
  <si>
    <t>Valor Total $</t>
  </si>
  <si>
    <t>TRN185/120</t>
  </si>
  <si>
    <t>ALUFORCE CB TRIPLEX 185mm² + 120mm² NEUTRO NÚ</t>
  </si>
  <si>
    <t>TRN185/150</t>
  </si>
  <si>
    <t>ALUFORCE CB TRIPLEX 185mm² + 150mm² NEUTRO NÚ</t>
  </si>
  <si>
    <t>TRN185</t>
  </si>
  <si>
    <t>ALUFORCE CB TRIPLEX 185mm² NEUTRO NÚ</t>
  </si>
  <si>
    <t>TRI10</t>
  </si>
  <si>
    <t>ALUFORCE CB TRIPLEX 10mm² NEUTRO ISOLADO</t>
  </si>
  <si>
    <t>QTD - VOLUME:</t>
  </si>
  <si>
    <t>__________________________</t>
  </si>
  <si>
    <t>EMBALAGEM:</t>
  </si>
  <si>
    <t>___________________________</t>
  </si>
  <si>
    <t>TRI16</t>
  </si>
  <si>
    <t>ALUFORCE CB TRIPLEX 16mm² NEUTRO ISOLADO</t>
  </si>
  <si>
    <t>TRI25</t>
  </si>
  <si>
    <t>ALUFORCE CB TRIPLEX 25mm² NEUTRO ISOLADO</t>
  </si>
  <si>
    <t>OBSERVAÇÕES:</t>
  </si>
  <si>
    <t>TRI35</t>
  </si>
  <si>
    <t>ALUFORCE CB TRIPLEX 35mm² NEUTRO ISOLADO</t>
  </si>
  <si>
    <t>COMPLETO</t>
  </si>
  <si>
    <t>TRI50</t>
  </si>
  <si>
    <t>ALUFORCE CB TRIPLEX 50mm² NEUTRO ISOLADO</t>
  </si>
  <si>
    <t>TRI50/35</t>
  </si>
  <si>
    <t>ALUFORCE CB TRIPLEX 50mm² + 35mm² NEUTRO ISOLADO</t>
  </si>
  <si>
    <t>PARCIAL</t>
  </si>
  <si>
    <t>TRI70</t>
  </si>
  <si>
    <t>ALUFORCE CB TRIPLEX 70mm² NEUTRO ISOLADO</t>
  </si>
  <si>
    <t>TRI95/70</t>
  </si>
  <si>
    <t>ALUFORCE CB TRIPLEX 95mm² + 70mm² NEUTRO ISOLADO</t>
  </si>
  <si>
    <t>TRI95</t>
  </si>
  <si>
    <t>ALUFORCE CB TRIPLEX 95mm² NEUTRO ISOLADO</t>
  </si>
  <si>
    <t>TRI120/70</t>
  </si>
  <si>
    <t>ALUFORCE CB TRIPLEX 120mm² + 70mm² NEUTRO ISOLADO</t>
  </si>
  <si>
    <t>TRI120/95</t>
  </si>
  <si>
    <t>ALUFORCE CB TRIPLEX 120mm² + 95mm² NEUTRO ISOLADO</t>
  </si>
  <si>
    <t>TRI120</t>
  </si>
  <si>
    <t>ALUFORCE CB TRIPLEX 120mm² NEUTRO ISOLADO</t>
  </si>
  <si>
    <t>TRI150/95</t>
  </si>
  <si>
    <t>ALUFORCE CB TRIPLEX 150mm² + 95mm² NEUTRO ISOLADO</t>
  </si>
  <si>
    <t>TRI150/120</t>
  </si>
  <si>
    <t>ALUFORCE CB TRIPLEX 150mm² + 120mm² NEUTRO ISOLADO</t>
  </si>
  <si>
    <t>TRI150</t>
  </si>
  <si>
    <t>ALUFORCE CB TRIPLEX 150mm² NEUTRO ISOLADO</t>
  </si>
  <si>
    <t>TRI185/120</t>
  </si>
  <si>
    <t>ALUFORCE CB TRIPLEX 185mm² + 120mm² NEUTRO ISOLADO</t>
  </si>
  <si>
    <t>TRI185/150</t>
  </si>
  <si>
    <t>ALUFORCE CB TRIPLEX 185mm² + 150mm² NEUTRO ISOLADO</t>
  </si>
  <si>
    <t>TRI185</t>
  </si>
  <si>
    <t>ALUFORCR CB TRIPLEX 185mm² NEUTRO ISOLADO</t>
  </si>
  <si>
    <t>QDN10</t>
  </si>
  <si>
    <t>ALUFORCE CB QUAD 10mm² NEUTRO NÚ</t>
  </si>
  <si>
    <t>QDN16</t>
  </si>
  <si>
    <t>ALUFORCE CB QUAD 16mm² NEUTRO NÚ</t>
  </si>
  <si>
    <t>QDN25</t>
  </si>
  <si>
    <t>ALUFORCE CB QUAD 25mm² NEUTRO NÚ</t>
  </si>
  <si>
    <t>QDN35</t>
  </si>
  <si>
    <t>ALUFORCR CB QUAD 35mm² NEUTRO NÚ</t>
  </si>
  <si>
    <t>QDN35/70</t>
  </si>
  <si>
    <t>ALUFORCE CB QUAD 35mm² + 70 mm² NEUTRO NÚ</t>
  </si>
  <si>
    <t>QDN50/35</t>
  </si>
  <si>
    <t>ALUFORCE CB QUAD 50mm² + 35 mm² NEUTRO NÚ</t>
  </si>
  <si>
    <t>QDN50</t>
  </si>
  <si>
    <t>ALUFORCE CB QUAD 50mm² NEUTRO NÚ</t>
  </si>
  <si>
    <t>QDN50/70</t>
  </si>
  <si>
    <t>ALUFORCE CB QUAD 50mm² + 70 mm² NEUTRO NÚ</t>
  </si>
  <si>
    <t>CLIP3,0</t>
  </si>
  <si>
    <t>CLIP NASAL MOD.F1 PL/AL 3,0MM</t>
  </si>
  <si>
    <t>QDN70/50</t>
  </si>
  <si>
    <t>ALUFORCE CB QUAD 70mm² + 50 mm² NEUTRO NÚ</t>
  </si>
  <si>
    <t>QDN70</t>
  </si>
  <si>
    <t>ALUFORCE CB QUAD 70mm² NEUTRO NÚ</t>
  </si>
  <si>
    <t>QDN95/70</t>
  </si>
  <si>
    <t>ALUFORCE CB QUAD 95mm² + 70 mm² NEUTRO NÚ</t>
  </si>
  <si>
    <t>QDN95</t>
  </si>
  <si>
    <t>ALUFORCE CB QUAD 95mm² NEUTRO NÚ</t>
  </si>
  <si>
    <t>QDN120/70</t>
  </si>
  <si>
    <t>ALUFORCE CB QUAD 120mm² + 70 mm² NEUTRO NÚ</t>
  </si>
  <si>
    <t>QDN120/95</t>
  </si>
  <si>
    <t>ALUFORCE CB QUAD 120mm² + 95 mm² NEUTRO NÚ</t>
  </si>
  <si>
    <t>QDN120</t>
  </si>
  <si>
    <t>ALUFORCE CB QUAD 120mm² NEUTRO NÚ</t>
  </si>
  <si>
    <t>QDN150/95</t>
  </si>
  <si>
    <t>ALUFORCE CB QUAD 150mm² + 95 mm² NEUTRO NÚ</t>
  </si>
  <si>
    <t>QDN150/120</t>
  </si>
  <si>
    <t>ALUFORCE CB QUAD 150mm² + 120 mm² NEUTRO NÚ</t>
  </si>
  <si>
    <t>QDN150</t>
  </si>
  <si>
    <t>ALUFORCE CB QUAD 150mm² NEUTRO NÚ</t>
  </si>
  <si>
    <t>QDN185/120</t>
  </si>
  <si>
    <t>ALUFORCE CB QUAD 185mm² + 120 mm² NEUTRO NÚ</t>
  </si>
  <si>
    <t>QDN185/150</t>
  </si>
  <si>
    <t>ALUFORCE CB QUAD 185mm² + 150 mm² NEUTRO NÚ</t>
  </si>
  <si>
    <t>QDN185</t>
  </si>
  <si>
    <t>ALUFORCE CB QUAD 185mm² NEUTRO NÚ</t>
  </si>
  <si>
    <t>QDN240/150</t>
  </si>
  <si>
    <t>ALUFORCE CB QUAD 240mm² + 150 mm² NEUTRO NÚ</t>
  </si>
  <si>
    <t>QDN240/185</t>
  </si>
  <si>
    <t>ALUFORCR CB QUAD 240mm² + 185 mm² NEUTRO NÚ</t>
  </si>
  <si>
    <t>QDN240</t>
  </si>
  <si>
    <t>ALUFORCE CB QUAD 240mm² NEUTRO NÚ</t>
  </si>
  <si>
    <t>QDI10</t>
  </si>
  <si>
    <t>ALUFORCE CB QUAD 10mm² NEUTRO ISOLADO</t>
  </si>
  <si>
    <t>QDI16</t>
  </si>
  <si>
    <t>ALUFORCE CB QUAD 16mm² NEUTRO ISOLADO</t>
  </si>
  <si>
    <t>QDI25</t>
  </si>
  <si>
    <t>ALUFORCE CB QUAD 25mm² NEUTRO ISOLADO</t>
  </si>
  <si>
    <t>QDI35</t>
  </si>
  <si>
    <t>ALUFORCE CB QUAD 35mm² NEUTRO ISOLADO</t>
  </si>
  <si>
    <t>QDI35/70</t>
  </si>
  <si>
    <t>ALUFORCE CB QUAD 35mm² + 70 mm² NEUTRO ISOLADO</t>
  </si>
  <si>
    <t>QDI50/35</t>
  </si>
  <si>
    <t>ALUFORCE CB QUAD 50mm² + 35 mm² NEUTRO ISOLADO</t>
  </si>
  <si>
    <t>QDI50</t>
  </si>
  <si>
    <t>ALUFORCE CB QUAD 50mm² NEUTRO ISOLADO</t>
  </si>
  <si>
    <t>QDI50/70</t>
  </si>
  <si>
    <t>ALUFORCE CB QUAD 50mm² + 70 mm² NEUTRO ISOLADO</t>
  </si>
  <si>
    <t>QDI70/50</t>
  </si>
  <si>
    <t>ALUFORCE CB QUAD 70mm² + 50 mm² NEUTRO ISOLADO</t>
  </si>
  <si>
    <t>QDI70</t>
  </si>
  <si>
    <t>ALUFORCE CB QUAD 70mm² NEUTRO ISOLADO</t>
  </si>
  <si>
    <t>QDI95/70</t>
  </si>
  <si>
    <t>ALUFORCE CB QUAD 95mm² + 70 mm² NEUTRO ISOLADO</t>
  </si>
  <si>
    <t>QDI95</t>
  </si>
  <si>
    <t>ALUFORCE CB QUAD 95mm² NEUTRO ISOLADO</t>
  </si>
  <si>
    <t>QDI120/70</t>
  </si>
  <si>
    <t>ALUFORCE CB QUAD 120mm² + 70 mm² NEUTRO ISOLADO</t>
  </si>
  <si>
    <t>QDI120/95</t>
  </si>
  <si>
    <t>ALUFORCE CB QUAD 120mm² + 95 mm² NEUTRO ISOLADO</t>
  </si>
  <si>
    <t>QDI120</t>
  </si>
  <si>
    <t>ALUFORCE CB QUAD 120mm² NEUTRO ISOLADO</t>
  </si>
  <si>
    <t>QDI150/95</t>
  </si>
  <si>
    <t>ALUFORCE CB QUAD 150mm² + 95 mm² NEUTRO ISOLADO</t>
  </si>
  <si>
    <t>QDI150/120</t>
  </si>
  <si>
    <t>ALUFORCE CB QUAD 150mm² + 120 mm² NEUTRO ISOLADO</t>
  </si>
  <si>
    <t>QDI150</t>
  </si>
  <si>
    <t>ALUFORCE CB QUAD 150mm² NEUTRO ISOLADO</t>
  </si>
  <si>
    <t>QDI185/120</t>
  </si>
  <si>
    <t>ALUFORCE CB QUAD 185mm² + 120 mm² NEUTRO ISOLADO</t>
  </si>
  <si>
    <t>QDI185/150</t>
  </si>
  <si>
    <t>ALUFORCE CB QUAD 185mm² + 150 mm² NEUTRO ISOLADO</t>
  </si>
  <si>
    <t>QDI185</t>
  </si>
  <si>
    <t>ALUFORCE CB QUAD 185mm² NEUTRO ISOLADO</t>
  </si>
  <si>
    <t>QDI240/150</t>
  </si>
  <si>
    <t>ALUFORCE CB QUAD 240mm² + 150 mm² NEUTRO ISOLADO</t>
  </si>
  <si>
    <t>QDI240/185</t>
  </si>
  <si>
    <t>ALUFORCE CB QUAD 240mm² + 185 mm² NEUTRO ISOLADO</t>
  </si>
  <si>
    <t>QDI240</t>
  </si>
  <si>
    <t>ALUFORCE CB QUAD 240mm² NEUTRO ISOLADO</t>
  </si>
  <si>
    <t>UN10</t>
  </si>
  <si>
    <t>ALUFORCE CB DE POTÊNCIA 10mm² 0,6/1KV NBR 7285</t>
  </si>
  <si>
    <t>UN16</t>
  </si>
  <si>
    <t>ALUFORCE CB DE POTÊNCIA 16mm² 0,6/1KV NBR 7285</t>
  </si>
  <si>
    <t>UN25</t>
  </si>
  <si>
    <t>ALUFORCE CB DE POTÊNCIA 25mm² 0,6/1KV NBR 7285</t>
  </si>
  <si>
    <t>UN35</t>
  </si>
  <si>
    <t>ALUFORCE CB DE POTÊNCIA 35mm² 0,6/1KV NBR 7285</t>
  </si>
  <si>
    <t>UN50</t>
  </si>
  <si>
    <t>ALUFORCE CB DE POTÊNCIA 50mm² 0,6/1KV NBR 7285</t>
  </si>
  <si>
    <t>UN70</t>
  </si>
  <si>
    <t>ALUFORCE CB DE POTÊNCIA 70mm² 0,6/1KV NBR 7285</t>
  </si>
  <si>
    <t>UN95</t>
  </si>
  <si>
    <t>ALUFORCE CB DE POTÊNCIA 95mm² 0,6/1KV NBR 7285</t>
  </si>
  <si>
    <t>UN120</t>
  </si>
  <si>
    <t>ALUFORCE CB DE POTÊNCIA 120mm² 0,6/1KV NBR 7285</t>
  </si>
  <si>
    <t>UN150</t>
  </si>
  <si>
    <t>ALUFORCE CB DE POTÊNCIA 150mm² 0,6/1KV NBR 7285</t>
  </si>
  <si>
    <t>UN185</t>
  </si>
  <si>
    <t>ALUFORCE CB DE POTÊNCIA 185mm² 0,6/1KV NBR 7285</t>
  </si>
  <si>
    <t>UN240</t>
  </si>
  <si>
    <t>ALUFORCE CB DE POTÊNCIA 240mm² 0,6/1KV NBR 7285</t>
  </si>
  <si>
    <t>PRO35</t>
  </si>
  <si>
    <t>ALUFORCE CB PROTEGIDO 35mm² 15KV NBR 11873</t>
  </si>
  <si>
    <t>PRO50</t>
  </si>
  <si>
    <t>ALUFORCE CB PROTEGIDO 50mm² 15KV NBR 11873</t>
  </si>
  <si>
    <t>PRO70</t>
  </si>
  <si>
    <t>ALUFORCE CB PROTEGIDO 70mm² 15KV NBR 11873</t>
  </si>
  <si>
    <t>PRO95</t>
  </si>
  <si>
    <t>ALUFORCE CB PROTEGIDO 95mm² 15KV NBR 11873</t>
  </si>
  <si>
    <t>PRO120</t>
  </si>
  <si>
    <t>ALUFORCE CB PROTEGIDO 120mm² 15KV NBR 11873</t>
  </si>
  <si>
    <t>PRO150</t>
  </si>
  <si>
    <t>ALUFORCE CB PROTEGIDO 150mm² 15KV NBR 11873</t>
  </si>
  <si>
    <t>PRO185</t>
  </si>
  <si>
    <t>ALUFORCE CB PROTEGIDO 185mm² 15KV NBR 11873</t>
  </si>
  <si>
    <t>PRO240</t>
  </si>
  <si>
    <t>ALUFORCE CB PROTEGIDO 240mm² 15KV NBR 11873</t>
  </si>
  <si>
    <t>CET2.15</t>
  </si>
  <si>
    <t>ALUFORCE CB DE POTÊNCIA 2x1,5mm² 0,6/1KV NBR 7286 AL/HEPR</t>
  </si>
  <si>
    <t>CET2.25</t>
  </si>
  <si>
    <t>ALUFORCE CB DE POTÊNCIA 2x2,5mm² 0,6/1KV NBR 7286 AL/HEPR</t>
  </si>
  <si>
    <t>CET2.40</t>
  </si>
  <si>
    <t>ALUFORCE CB DE POTÊNCIA 2x4,0mm² 0,6/1KV NBR 7286 AL/HEPR</t>
  </si>
  <si>
    <t>CET2.60</t>
  </si>
  <si>
    <t>ALUFORCE CB DE POTÊNCIA 2x6,0mm² 0,6/1KV NBR 7286 AL/HEPR</t>
  </si>
  <si>
    <t>CET3.15</t>
  </si>
  <si>
    <t>ALUFORCE CB DE POTÊNCIA 3x1,5mm² 0,6/1KV NBR 7286 AL/HEPR</t>
  </si>
  <si>
    <t>CET3.25</t>
  </si>
  <si>
    <t>ALUFORCE CB DE POTÊNCIA 3x2,5mm² 0,6/1KV NBR 7286 AL/HEPR</t>
  </si>
  <si>
    <t>CET3.40</t>
  </si>
  <si>
    <t>ALUFORCE CB DE POTÊNCIA 3x4,0mm² 0,6/1KV NBR 7286 AL/HEPR</t>
  </si>
  <si>
    <t>CET3.60</t>
  </si>
  <si>
    <t>ALUFORCE CB DE POTÊNCIA 3x6,0mm² 0,6/1KV NBR 7286 AL/HEPR</t>
  </si>
  <si>
    <t>CET4.15</t>
  </si>
  <si>
    <t>ALUFORCE CB DE POTÊNCIA 4x1,5mm² 0,6/1KV NBR 7286 AL/HEPR</t>
  </si>
  <si>
    <t>CET4.25</t>
  </si>
  <si>
    <t>ALUFORCE CB DE POTÊNCIA 4x2,5mm² 0,6/1KV NBR 7286 AL/HEPR</t>
  </si>
  <si>
    <t>CET4.40</t>
  </si>
  <si>
    <t>ALUFORCE CB DE POTÊNCIA 4x4,0mm² 0,6/1KV NBR 7286 AL/HEPR</t>
  </si>
  <si>
    <t>CET4.60</t>
  </si>
  <si>
    <t>ALUFORCE CB DE POTÊNCIA 4x6,0mm² 0,6/1KV NBR 7286 AL/HEPR</t>
  </si>
  <si>
    <t>CET5.15</t>
  </si>
  <si>
    <t>ALUFORCE CB DE POTÊNCIA 5x1,5mm² 0,6/1KV NBR 7286 AL/HEPR</t>
  </si>
  <si>
    <t>CET5.25</t>
  </si>
  <si>
    <t>ALUFORCE CB DE POTÊNCIA 5x2,5mm² 0,6/1KV NBR 7286 AL/HEPR</t>
  </si>
  <si>
    <t>CET5.40</t>
  </si>
  <si>
    <t>ALUFORCE CB DE POTÊNCIA 5x4,0mm² 0,6/1KV NBR 7286 AL/HEPR</t>
  </si>
  <si>
    <t>CET5.60</t>
  </si>
  <si>
    <t>ALUFORCE CB DE POTÊNCIA 5x6,0mm² 0,6/1KV NBR 7286 AL/HEPR</t>
  </si>
  <si>
    <t>CET7.15</t>
  </si>
  <si>
    <t>ALUFORCE CB DE POTÊNCIA 7x1,5mm² 0,6/1KV NBR 7286 AL/HEPR</t>
  </si>
  <si>
    <t>CET8.15</t>
  </si>
  <si>
    <t>ALUFORCE CB DE POTÊNCIA 8x1,5mm² 0,6/1KV NBR 7286 AL/HEPR</t>
  </si>
  <si>
    <t>POT10</t>
  </si>
  <si>
    <t>ALUFORCE CB DE POTÊNCIA 10 mm² 0,6/1KV NBR 7287 AL/XLPE/PVC</t>
  </si>
  <si>
    <t>POT16</t>
  </si>
  <si>
    <t>ALUFORCE CB DE POTÊNCIA 16 mm² 0,6/1KV NBR 7287 AL/XLPE/PVC</t>
  </si>
  <si>
    <t>POT25</t>
  </si>
  <si>
    <t>ALUFORCE CB DE POTÊNCIA 25 mm² 0,6/1KV NBR 7287 AL/XLPE/PVC</t>
  </si>
  <si>
    <t>POT35</t>
  </si>
  <si>
    <t>ALUFORCE CB DE POTÊNCIA 35 mm² 0,6/1KV NBR 7287 AL/XLPE/PVC</t>
  </si>
  <si>
    <t>POT50</t>
  </si>
  <si>
    <t>ALUFORCE CB DE POTÊNCIA 50 mm² 0,6/1KV NBR 7287 AL/XLPE/PVC</t>
  </si>
  <si>
    <t>POT70</t>
  </si>
  <si>
    <t>ALUFORCE CB DE POTÊNCIA 70 mm² 0,6/1KV NBR 7287 AL/XLPE/PVC</t>
  </si>
  <si>
    <t>POT95</t>
  </si>
  <si>
    <t>ALUFORCE CB DE POTÊNCIA 95 mm² 0,6/1KV NBR 7287 AL/XLPE/PVC</t>
  </si>
  <si>
    <t>POT120</t>
  </si>
  <si>
    <t>ALUFORCE CB DE POTÊNCIA 120 mm² 0,6/1KV NBR 7287 AL/XLPE/PVC</t>
  </si>
  <si>
    <t>POT150</t>
  </si>
  <si>
    <t>ALUFORCE CB DE POTÊNCIA 150 mm² 0,6/1KV NBR 7287 AL/XLPE/PVC</t>
  </si>
  <si>
    <t>POT185</t>
  </si>
  <si>
    <t>ALUFORCE CB DE POTÊNCIA 185 mm² 0,6/1KV NBR 7287 AL/XLPE/PVC</t>
  </si>
  <si>
    <t>POT240</t>
  </si>
  <si>
    <t>ALUFORCE CB DE POTÊNCIA 240 mm² 0,6/1KV NBR 7287 AL/XLPE/PVC</t>
  </si>
  <si>
    <t>PEAC</t>
  </si>
  <si>
    <t>ALUFORCE CB CA PEACHBELL</t>
  </si>
  <si>
    <t>ROSE</t>
  </si>
  <si>
    <t>ALUFORCE CB CA ROSE</t>
  </si>
  <si>
    <t>IRIS</t>
  </si>
  <si>
    <t>ALUFORCE CB CA IRIS</t>
  </si>
  <si>
    <t>PANS</t>
  </si>
  <si>
    <t>ALUFORCE CB CA PANSY</t>
  </si>
  <si>
    <t>POPP</t>
  </si>
  <si>
    <t>ALUFORCE CB CA POPPY</t>
  </si>
  <si>
    <t>ASTE</t>
  </si>
  <si>
    <t>ALUFORCE CB CA ASTER</t>
  </si>
  <si>
    <t>PHLO</t>
  </si>
  <si>
    <t>ALUFORCE CB CA PHLOX</t>
  </si>
  <si>
    <t>OXLI</t>
  </si>
  <si>
    <t>ALUFORCE CB CA OXLIP</t>
  </si>
  <si>
    <t>SNEE</t>
  </si>
  <si>
    <t>ALUFORCE CB CA SNEEZEWORT</t>
  </si>
  <si>
    <t>CET4.15RP</t>
  </si>
  <si>
    <t>CET8.15RP</t>
  </si>
  <si>
    <t>CET3.25RP</t>
  </si>
  <si>
    <t>QDN150/70</t>
  </si>
  <si>
    <t>ALUFORCE CB QUAD 150mm² + 70 mm² NEUTRO NÚ</t>
  </si>
  <si>
    <t xml:space="preserve">                                                                                                                                      ALUFORCE LTDA. RUA ERNESTINA 270 - VILA SÃO JOÃO - 08537400 -                    FERAZ DE VASCONCELOS - SP</t>
  </si>
  <si>
    <t>X</t>
  </si>
  <si>
    <t>Cod. Cores</t>
  </si>
  <si>
    <t>P. BRUTO</t>
  </si>
  <si>
    <t>P.LIQUIDO</t>
  </si>
  <si>
    <t>LOTE</t>
  </si>
  <si>
    <t>FATURADO</t>
  </si>
  <si>
    <t>PT/NU</t>
  </si>
  <si>
    <t>PT/AZ</t>
  </si>
  <si>
    <t>PT/CZ/NU</t>
  </si>
  <si>
    <t>PT/CZ/AZ</t>
  </si>
  <si>
    <t>P. LIQUIDO</t>
  </si>
  <si>
    <t>PT/CZ/VM/NU</t>
  </si>
  <si>
    <t>ALUFORCE CB QUAD 35mm² NEUTRO NÚ</t>
  </si>
  <si>
    <t>BRANCO</t>
  </si>
  <si>
    <t>QDN70/35</t>
  </si>
  <si>
    <t>ALUFORCE CB QUAD 70mm² + 35 mm² NEUTRO NÚ</t>
  </si>
  <si>
    <t>PT/CZ/VM/AZ</t>
  </si>
  <si>
    <t>QDI70/35</t>
  </si>
  <si>
    <t>ALUFORCE CB QUAD 70mm² + 35 mm² NEUTRO ISOLADO</t>
  </si>
  <si>
    <t>PT</t>
  </si>
  <si>
    <t>CZ</t>
  </si>
  <si>
    <t>AZ/BC</t>
  </si>
  <si>
    <t>VD/AZ/BC</t>
  </si>
  <si>
    <t>VD/AZ/PT</t>
  </si>
  <si>
    <t>AM/VD/VM/PT</t>
  </si>
  <si>
    <t>AM/VD/VM/AZ/PT/BC/MR</t>
  </si>
  <si>
    <t>AM/VD/VM/AZ/PT/BC/LR/MR</t>
  </si>
  <si>
    <t>AM/VD/VM/BC</t>
  </si>
  <si>
    <t>PT/AZ/BC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</si>
</sst>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/mm/yyyy"/>
    <numFmt numFmtId="165" formatCode="(00) 00000-0000"/>
    <numFmt numFmtId="166" formatCode="[&lt;=99999999999]000.000.000-00;00.000.000/0000-00"/>
    <numFmt numFmtId="167" formatCode="[&lt;=99999999999]000.000.000-00;00.000.000/000000-00"/>
    <numFmt numFmtId="168" formatCode="R$ #,##0.00"/>
    <numFmt numFmtId="169" formatCode="_-&quot;R$&quot; * #,##0.00_-;-&quot;R$&quot; * #,##0.00_-;_-&quot;R$&quot; * &quot;-&quot;??_-;_-@_-"/>
  </numFmts>
  <fonts count="1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u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u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b/>
      <color theme="1"/>
      <family val="2"/>
      <scheme val="minor"/>
      <sz val="8"/>
      <name val="Calibri"/>
    </font>
    <font>
      <b/>
      <family val="2"/>
      <scheme val="minor"/>
      <sz val="10"/>
      <name val="Calibri"/>
    </font>
    <font>
      <b/>
      <color theme="0"/>
      <family val="2"/>
      <scheme val="minor"/>
      <sz val="10"/>
      <name val="Calibri"/>
    </font>
    <font>
      <b/>
      <color theme="1"/>
      <family val="2"/>
      <sz val="11"/>
      <name val="Aptos"/>
    </font>
    <font>
      <color theme="1"/>
      <family val="2"/>
      <scheme val="minor"/>
      <sz val="9"/>
      <name val="Calibri"/>
    </font>
    <font>
      <family val="2"/>
      <scheme val="minor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3" fillId="2" borderId="8" xfId="0" applyFont="1" applyFill="1" applyBorder="1" applyAlignment="1">
      <alignment horizontal="left"/>
    </xf>
    <xf numFmtId="164" fontId="6" fillId="0" borderId="8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0" fontId="7" fillId="0" borderId="0" xfId="0" applyFont="1"/>
    <xf numFmtId="0" fontId="6" fillId="2" borderId="8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0" fillId="2" borderId="8" xfId="0" applyFill="1" applyBorder="1" applyAlignment="1">
      <alignment horizontal="left"/>
    </xf>
    <xf numFmtId="0" fontId="5" fillId="0" borderId="8" xfId="0" applyFont="1" applyBorder="1"/>
    <xf numFmtId="165" fontId="0" fillId="2" borderId="8" xfId="0" applyNumberForma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2" borderId="6" xfId="0" applyFill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Border="1"/>
    <xf numFmtId="9" fontId="0" fillId="0" borderId="9" xfId="0" applyNumberFormat="1" applyBorder="1"/>
    <xf numFmtId="0" fontId="5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5" xfId="0" applyFont="1" applyBorder="1"/>
    <xf numFmtId="0" fontId="0" fillId="0" borderId="9" xfId="0" applyBorder="1" applyAlignment="1">
      <alignment horizontal="left"/>
    </xf>
    <xf numFmtId="166" fontId="5" fillId="2" borderId="8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6" fillId="0" borderId="8" xfId="0" applyFont="1" applyBorder="1"/>
    <xf numFmtId="0" fontId="0" fillId="0" borderId="5" xfId="0" applyBorder="1"/>
    <xf numFmtId="0" fontId="5" fillId="0" borderId="6" xfId="0" applyFont="1" applyBorder="1" applyAlignment="1">
      <alignment horizontal="left"/>
    </xf>
    <xf numFmtId="0" fontId="9" fillId="0" borderId="9" xfId="0" applyFont="1" applyBorder="1" applyAlignment="1">
      <alignment wrapText="1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9" fillId="0" borderId="9" xfId="0" applyFont="1" applyBorder="1"/>
    <xf numFmtId="0" fontId="0" fillId="2" borderId="9" xfId="0" applyFill="1" applyBorder="1"/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3" fontId="0" fillId="2" borderId="9" xfId="0" applyNumberFormat="1" applyFill="1" applyBorder="1"/>
    <xf numFmtId="4" fontId="0" fillId="2" borderId="9" xfId="0" applyNumberFormat="1" applyFill="1" applyBorder="1"/>
    <xf numFmtId="168" fontId="0" fillId="2" borderId="9" xfId="0" applyNumberFormat="1" applyFill="1" applyBorder="1"/>
    <xf numFmtId="168" fontId="0" fillId="0" borderId="9" xfId="0" applyNumberFormat="1" applyBorder="1"/>
    <xf numFmtId="0" fontId="5" fillId="0" borderId="0" xfId="0" applyFont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0" xfId="0" applyFont="1" applyBorder="1"/>
    <xf numFmtId="0" fontId="2" fillId="0" borderId="0" xfId="0" applyFont="1"/>
    <xf numFmtId="1" fontId="0" fillId="0" borderId="0" xfId="0" applyNumberFormat="1"/>
    <xf numFmtId="2" fontId="0" fillId="0" borderId="11" xfId="0" applyNumberFormat="1" applyBorder="1"/>
    <xf numFmtId="0" fontId="0" fillId="0" borderId="12" xfId="0" applyBorder="1"/>
    <xf numFmtId="168" fontId="0" fillId="0" borderId="1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2" borderId="9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8" fontId="5" fillId="0" borderId="2" xfId="0" applyNumberFormat="1" applyFont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169" fontId="5" fillId="0" borderId="3" xfId="0" applyNumberFormat="1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49" fontId="6" fillId="0" borderId="9" xfId="0" applyNumberFormat="1" applyFont="1" applyBorder="1"/>
    <xf numFmtId="1" fontId="6" fillId="0" borderId="5" xfId="0" applyNumberFormat="1" applyFont="1" applyBorder="1" applyAlignment="1">
      <alignment horizontal="left"/>
    </xf>
    <xf numFmtId="1" fontId="6" fillId="0" borderId="8" xfId="0" applyNumberFormat="1" applyFont="1" applyBorder="1" applyAlignment="1">
      <alignment horizontal="left"/>
    </xf>
    <xf numFmtId="1" fontId="6" fillId="0" borderId="6" xfId="0" applyNumberFormat="1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49" fontId="0" fillId="0" borderId="9" xfId="0" applyNumberFormat="1" applyBorder="1"/>
    <xf numFmtId="2" fontId="3" fillId="0" borderId="5" xfId="0" applyNumberFormat="1" applyFont="1" applyBorder="1" applyAlignment="1">
      <alignment horizontal="center"/>
    </xf>
    <xf numFmtId="1" fontId="6" fillId="0" borderId="9" xfId="0" applyNumberFormat="1" applyFont="1" applyBorder="1"/>
    <xf numFmtId="2" fontId="3" fillId="0" borderId="6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6" fillId="0" borderId="5" xfId="0" applyNumberFormat="1" applyFont="1" applyBorder="1"/>
    <xf numFmtId="1" fontId="6" fillId="0" borderId="8" xfId="0" applyNumberFormat="1" applyFont="1" applyBorder="1"/>
    <xf numFmtId="1" fontId="6" fillId="0" borderId="6" xfId="0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6" fillId="3" borderId="9" xfId="0" applyNumberFormat="1" applyFont="1" applyFill="1" applyBorder="1"/>
    <xf numFmtId="1" fontId="13" fillId="3" borderId="5" xfId="0" applyNumberFormat="1" applyFont="1" applyFill="1" applyBorder="1" applyAlignment="1">
      <alignment horizontal="left"/>
    </xf>
    <xf numFmtId="1" fontId="13" fillId="3" borderId="8" xfId="0" applyNumberFormat="1" applyFont="1" applyFill="1" applyBorder="1" applyAlignment="1">
      <alignment horizontal="left"/>
    </xf>
    <xf numFmtId="1" fontId="13" fillId="3" borderId="6" xfId="0" applyNumberFormat="1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9" xfId="0" applyFill="1" applyBorder="1"/>
    <xf numFmtId="49" fontId="0" fillId="3" borderId="9" xfId="0" applyNumberFormat="1" applyFill="1" applyBorder="1"/>
    <xf numFmtId="4" fontId="0" fillId="3" borderId="9" xfId="0" applyNumberFormat="1" applyFill="1" applyBorder="1"/>
    <xf numFmtId="0" fontId="6" fillId="3" borderId="6" xfId="0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" fontId="6" fillId="3" borderId="5" xfId="0" applyNumberFormat="1" applyFont="1" applyFill="1" applyBorder="1"/>
    <xf numFmtId="2" fontId="3" fillId="3" borderId="9" xfId="0" applyNumberFormat="1" applyFont="1" applyFill="1" applyBorder="1" applyAlignment="1">
      <alignment horizontal="center"/>
    </xf>
    <xf numFmtId="1" fontId="6" fillId="3" borderId="8" xfId="0" applyNumberFormat="1" applyFont="1" applyFill="1" applyBorder="1" applyAlignment="1">
      <alignment horizontal="center"/>
    </xf>
    <xf numFmtId="0" fontId="0" fillId="3" borderId="6" xfId="0" applyFill="1" applyBorder="1"/>
    <xf numFmtId="49" fontId="0" fillId="3" borderId="8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0" fontId="0" fillId="0" borderId="4" xfId="0" applyBorder="1"/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6" fillId="3" borderId="5" xfId="0" applyNumberFormat="1" applyFont="1" applyFill="1" applyBorder="1" applyAlignment="1">
      <alignment horizontal="left"/>
    </xf>
    <xf numFmtId="1" fontId="6" fillId="3" borderId="8" xfId="0" applyNumberFormat="1" applyFont="1" applyFill="1" applyBorder="1" applyAlignment="1">
      <alignment horizontal="left"/>
    </xf>
    <xf numFmtId="1" fontId="6" fillId="3" borderId="6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6" fillId="3" borderId="9" xfId="0" applyNumberFormat="1" applyFont="1" applyFill="1" applyBorder="1"/>
    <xf numFmtId="1" fontId="6" fillId="3" borderId="6" xfId="0" applyNumberFormat="1" applyFont="1" applyFill="1" applyBorder="1" applyAlignment="1">
      <alignment horizontal="center"/>
    </xf>
    <xf numFmtId="0" fontId="0" fillId="3" borderId="5" xfId="0" applyFill="1" applyBorder="1"/>
    <xf numFmtId="49" fontId="13" fillId="3" borderId="9" xfId="0" applyNumberFormat="1" applyFont="1" applyFill="1" applyBorder="1"/>
    <xf numFmtId="1" fontId="14" fillId="3" borderId="5" xfId="0" applyNumberFormat="1" applyFont="1" applyFill="1" applyBorder="1" applyAlignment="1">
      <alignment horizontal="left"/>
    </xf>
    <xf numFmtId="1" fontId="14" fillId="3" borderId="8" xfId="0" applyNumberFormat="1" applyFont="1" applyFill="1" applyBorder="1" applyAlignment="1">
      <alignment horizontal="left"/>
    </xf>
    <xf numFmtId="1" fontId="14" fillId="3" borderId="6" xfId="0" applyNumberFormat="1" applyFont="1" applyFill="1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1</xdr:row>
      <xdr:rowOff>66675</xdr:rowOff>
    </xdr:from>
    <xdr:to>
      <xdr:col>3</xdr:col>
      <xdr:colOff>709146</xdr:colOff>
      <xdr:row>2</xdr:row>
      <xdr:rowOff>257175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104777</xdr:colOff>
      <xdr:row>1</xdr:row>
      <xdr:rowOff>85725</xdr:rowOff>
    </xdr:from>
    <xdr:to>
      <xdr:col>3</xdr:col>
      <xdr:colOff>480547</xdr:colOff>
      <xdr:row>2</xdr:row>
      <xdr:rowOff>276225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workbookViewId="0" zoomScale="100" zoomScaleNormal="100">
      <selection activeCell="L8" sqref="L8"/>
    </sheetView>
  </sheetViews>
  <sheetFormatPr defaultRowHeight="15" outlineLevelRow="0" outlineLevelCol="0" x14ac:dyDescent="0.25"/>
  <cols>
    <col min="1" max="1" width="3.42578125" customWidth="1"/>
    <col min="2" max="2" width="9.140625" customWidth="1"/>
    <col min="3" max="3" width="8.85546875" customWidth="1"/>
    <col min="4" max="4" width="11" customWidth="1"/>
    <col min="5" max="5" width="16" customWidth="1"/>
    <col min="6" max="6" width="9.28515625" customWidth="1"/>
    <col min="7" max="7" width="11.7109375" customWidth="1"/>
    <col min="8" max="8" width="10.5703125" customWidth="1"/>
    <col min="9" max="9" width="8.85546875" customWidth="1"/>
    <col min="10" max="10" width="11" customWidth="1"/>
    <col min="11" max="12" width="9.140625" customWidth="1"/>
    <col min="13" max="13" width="15.28515625" customWidth="1"/>
    <col min="14" max="14" width="12" customWidth="1"/>
    <col min="15" max="15" width="59.28515625" customWidth="1"/>
    <col min="16" max="16" width="21.7109375" customWidth="1"/>
    <col min="17" max="17" width="5.5703125" customWidth="1"/>
    <col min="18" max="37" width="9.140625" customWidth="1"/>
    <col min="38" max="38" width="2" customWidth="1"/>
  </cols>
  <sheetData>
    <row r="1" spans="1:10" x14ac:dyDescent="0.25">
      <c r="A1" s="1"/>
      <c r="B1" s="2"/>
      <c r="C1" s="3"/>
      <c r="D1" s="3"/>
      <c r="E1" s="4" t="s">
        <v>0</v>
      </c>
      <c r="F1" s="4"/>
      <c r="G1" s="4"/>
      <c r="H1" s="4"/>
      <c r="I1" s="4"/>
      <c r="J1" s="4"/>
    </row>
    <row r="2" ht="15.75" customHeight="1" spans="1:10" x14ac:dyDescent="0.25">
      <c r="A2" s="5"/>
      <c r="B2" s="6"/>
      <c r="C2" s="3"/>
      <c r="D2" s="3"/>
      <c r="E2" s="4"/>
      <c r="F2" s="4"/>
      <c r="G2" s="4"/>
      <c r="H2" s="4"/>
      <c r="I2" s="4"/>
      <c r="J2" s="4"/>
    </row>
    <row r="3" ht="34.5" customHeight="1" spans="1:10" x14ac:dyDescent="0.25">
      <c r="A3" s="7"/>
      <c r="B3" s="8"/>
      <c r="C3" s="9"/>
      <c r="D3" s="10"/>
      <c r="E3" s="4"/>
      <c r="F3" s="4"/>
      <c r="G3" s="4"/>
      <c r="H3" s="4"/>
      <c r="I3" s="4"/>
      <c r="J3" s="4"/>
    </row>
    <row r="4" ht="15.75" customHeight="1" spans="1:10" x14ac:dyDescent="0.25">
      <c r="A4" s="11" t="s">
        <v>1</v>
      </c>
      <c r="B4" s="12"/>
      <c r="C4" s="13" t="s">
        <v>2</v>
      </c>
      <c r="D4" s="14" t="s">
        <v>3</v>
      </c>
      <c r="E4" s="15"/>
      <c r="F4" s="14" t="s">
        <v>4</v>
      </c>
      <c r="G4" s="13" t="s">
        <v>5</v>
      </c>
      <c r="H4" s="15" t="s">
        <v>6</v>
      </c>
      <c r="I4" s="15"/>
      <c r="J4" s="16">
        <v>46016.125</v>
      </c>
    </row>
    <row r="5" ht="6" customHeight="1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</row>
    <row r="6" ht="15.75" customHeight="1" spans="1:13" x14ac:dyDescent="0.25">
      <c r="A6" s="11" t="s">
        <v>7</v>
      </c>
      <c r="B6" s="12"/>
      <c r="C6" s="19" t="s">
        <v>8</v>
      </c>
      <c r="D6" s="19"/>
      <c r="E6" s="19"/>
      <c r="F6" s="15" t="s">
        <v>9</v>
      </c>
      <c r="G6" s="15"/>
      <c r="H6" s="20" t="s">
        <v>10</v>
      </c>
      <c r="I6" s="20"/>
      <c r="J6" s="21"/>
      <c r="M6" s="22" t="s">
        <v>11</v>
      </c>
    </row>
    <row r="7" ht="15.75" customHeight="1" spans="1:10" x14ac:dyDescent="0.25">
      <c r="A7" s="11" t="s">
        <v>12</v>
      </c>
      <c r="B7" s="12"/>
      <c r="C7" s="23" t="s">
        <v>13</v>
      </c>
      <c r="D7" s="23"/>
      <c r="E7" s="23"/>
      <c r="F7" s="23"/>
      <c r="G7" s="23"/>
      <c r="H7" s="23"/>
      <c r="I7" s="23"/>
      <c r="J7" s="24"/>
    </row>
    <row r="8" ht="15.75" customHeight="1" spans="1:10" x14ac:dyDescent="0.25">
      <c r="A8" s="25" t="s">
        <v>14</v>
      </c>
      <c r="B8" s="26"/>
      <c r="C8" s="27" t="s">
        <v>15</v>
      </c>
      <c r="D8" s="27"/>
      <c r="E8" s="27"/>
      <c r="F8" s="27"/>
      <c r="G8" s="28" t="s">
        <v>16</v>
      </c>
      <c r="H8" s="29">
        <v>11999998888</v>
      </c>
      <c r="I8" s="29"/>
      <c r="J8" s="30"/>
    </row>
    <row r="9" ht="15.75" customHeight="1" spans="1:10" x14ac:dyDescent="0.25">
      <c r="A9" s="25" t="s">
        <v>17</v>
      </c>
      <c r="B9" s="26"/>
      <c r="C9" s="31" t="s">
        <v>18</v>
      </c>
      <c r="D9" s="32"/>
      <c r="E9" s="32"/>
      <c r="F9" s="32"/>
      <c r="G9" s="32"/>
      <c r="H9" s="33" t="s">
        <v>19</v>
      </c>
      <c r="I9" s="33"/>
      <c r="J9" s="34" t="s">
        <v>20</v>
      </c>
    </row>
    <row r="10" ht="6" customHeight="1" spans="1:13" x14ac:dyDescent="0.25">
      <c r="A10" s="35"/>
      <c r="B10" s="36"/>
      <c r="C10" s="37"/>
      <c r="D10" s="37"/>
      <c r="E10" s="37"/>
      <c r="F10" s="37"/>
      <c r="G10" s="37"/>
      <c r="H10" s="38"/>
      <c r="I10" s="38"/>
      <c r="J10" s="39"/>
      <c r="M10" s="3"/>
    </row>
    <row r="11" ht="15.75" customHeight="1" spans="1:17" x14ac:dyDescent="0.25">
      <c r="A11" s="40" t="s">
        <v>21</v>
      </c>
      <c r="B11" s="33"/>
      <c r="C11" s="33"/>
      <c r="D11" s="33"/>
      <c r="E11" s="33"/>
      <c r="F11" s="33"/>
      <c r="G11" s="33"/>
      <c r="H11" s="33"/>
      <c r="I11" s="33"/>
      <c r="J11" s="41"/>
      <c r="M11" s="42" t="s">
        <v>22</v>
      </c>
      <c r="N11" s="43" t="s">
        <v>23</v>
      </c>
      <c r="O11" s="43" t="s">
        <v>24</v>
      </c>
      <c r="P11" s="43" t="s">
        <v>25</v>
      </c>
      <c r="Q11" s="42" t="s">
        <v>26</v>
      </c>
    </row>
    <row r="12" ht="15.75" customHeight="1" spans="1:17" x14ac:dyDescent="0.25">
      <c r="A12" s="25" t="s">
        <v>27</v>
      </c>
      <c r="B12" s="26"/>
      <c r="C12" s="19" t="s">
        <v>28</v>
      </c>
      <c r="D12" s="19"/>
      <c r="E12" s="19"/>
      <c r="F12" s="19"/>
      <c r="G12" s="33" t="s">
        <v>16</v>
      </c>
      <c r="H12" s="29">
        <v>1133334444</v>
      </c>
      <c r="I12" s="29"/>
      <c r="J12" s="30"/>
      <c r="M12" s="44" t="s">
        <v>29</v>
      </c>
      <c r="N12" s="45" t="s">
        <v>30</v>
      </c>
      <c r="O12" s="45" t="s">
        <v>31</v>
      </c>
      <c r="P12" s="45" t="s">
        <v>32</v>
      </c>
      <c r="Q12" s="46">
        <v>0.2</v>
      </c>
    </row>
    <row r="13" ht="15.75" customHeight="1" spans="1:17" x14ac:dyDescent="0.25">
      <c r="A13" s="25" t="s">
        <v>33</v>
      </c>
      <c r="B13" s="26"/>
      <c r="C13" s="47" t="s">
        <v>34</v>
      </c>
      <c r="D13" s="47"/>
      <c r="E13" s="28" t="s">
        <v>35</v>
      </c>
      <c r="F13" s="13" t="s">
        <v>36</v>
      </c>
      <c r="G13" s="13"/>
      <c r="H13" s="13"/>
      <c r="I13" s="13"/>
      <c r="J13" s="48"/>
      <c r="M13" s="44" t="s">
        <v>20</v>
      </c>
      <c r="N13" s="45" t="s">
        <v>37</v>
      </c>
      <c r="O13" s="45" t="s">
        <v>38</v>
      </c>
      <c r="P13" s="45" t="s">
        <v>39</v>
      </c>
      <c r="Q13" s="46">
        <v>0.3</v>
      </c>
    </row>
    <row r="14" ht="15.75" customHeight="1" spans="1:17" x14ac:dyDescent="0.25">
      <c r="A14" s="49" t="s">
        <v>40</v>
      </c>
      <c r="B14" s="14"/>
      <c r="C14" s="14" t="s">
        <v>41</v>
      </c>
      <c r="D14" s="33" t="s">
        <v>42</v>
      </c>
      <c r="E14" s="33"/>
      <c r="F14" s="33"/>
      <c r="G14" s="33"/>
      <c r="H14" s="33"/>
      <c r="I14" s="33"/>
      <c r="J14" s="41"/>
      <c r="N14" s="50" t="s">
        <v>43</v>
      </c>
      <c r="O14" s="50" t="s">
        <v>44</v>
      </c>
      <c r="P14" s="50" t="s">
        <v>45</v>
      </c>
      <c r="Q14" s="46">
        <v>0.5</v>
      </c>
    </row>
    <row r="15" ht="15.75" customHeight="1" spans="1:17" x14ac:dyDescent="0.25">
      <c r="A15" s="11" t="s">
        <v>46</v>
      </c>
      <c r="B15" s="12"/>
      <c r="C15" s="51" t="s">
        <v>47</v>
      </c>
      <c r="D15" s="51"/>
      <c r="E15" s="51"/>
      <c r="F15" s="14" t="s">
        <v>48</v>
      </c>
      <c r="G15" s="31" t="s">
        <v>42</v>
      </c>
      <c r="H15" s="47"/>
      <c r="I15" s="47"/>
      <c r="J15" s="52"/>
      <c r="N15" s="50" t="s">
        <v>49</v>
      </c>
      <c r="O15" s="50" t="s">
        <v>50</v>
      </c>
      <c r="P15" s="50"/>
      <c r="Q15" s="46">
        <v>1</v>
      </c>
    </row>
    <row r="16" ht="6" customHeight="1" spans="1:10" x14ac:dyDescent="0.25">
      <c r="A16" s="53"/>
      <c r="B16" s="54"/>
      <c r="C16" s="55"/>
      <c r="D16" s="37"/>
      <c r="E16" s="37"/>
      <c r="F16" s="56"/>
      <c r="G16" s="33"/>
      <c r="H16" s="33"/>
      <c r="I16" s="33"/>
      <c r="J16" s="41"/>
    </row>
    <row r="17" ht="24" customHeight="1" spans="1:10" x14ac:dyDescent="0.25">
      <c r="A17" s="57"/>
      <c r="B17" s="43" t="s">
        <v>51</v>
      </c>
      <c r="C17" s="25" t="s">
        <v>52</v>
      </c>
      <c r="D17" s="26"/>
      <c r="E17" s="58"/>
      <c r="F17" s="59" t="s">
        <v>53</v>
      </c>
      <c r="G17" s="60" t="s">
        <v>54</v>
      </c>
      <c r="H17" s="61" t="s">
        <v>55</v>
      </c>
      <c r="I17" s="62" t="s">
        <v>56</v>
      </c>
      <c r="J17" s="62" t="s">
        <v>57</v>
      </c>
    </row>
    <row r="18" ht="15.95" customHeight="1" spans="1:15" x14ac:dyDescent="0.25">
      <c r="A18" s="44">
        <v>1</v>
      </c>
      <c r="B18" s="63" t="s">
        <v>58</v>
      </c>
      <c r="C18" s="64">
        <f>IFERROR(VLOOKUP(B18:B32,N18:O198,2,0),"")</f>
      </c>
      <c r="D18" s="65"/>
      <c r="E18" s="66"/>
      <c r="F18" s="63" t="s">
        <v>30</v>
      </c>
      <c r="G18" s="67" t="s">
        <v>59</v>
      </c>
      <c r="H18" s="68">
        <v>100</v>
      </c>
      <c r="I18" s="69">
        <v>15.5</v>
      </c>
      <c r="J18" s="70">
        <v>1550</v>
      </c>
      <c r="M18" s="17" t="s">
        <v>60</v>
      </c>
      <c r="N18" s="71" t="s">
        <v>61</v>
      </c>
      <c r="O18" s="17" t="s">
        <v>62</v>
      </c>
    </row>
    <row r="19" ht="15.95" customHeight="1" spans="1:15" x14ac:dyDescent="0.25">
      <c r="A19" s="44">
        <v>2</v>
      </c>
      <c r="B19" s="63" t="s">
        <v>63</v>
      </c>
      <c r="C19" s="64">
        <f>IFERROR(VLOOKUP(B18:B32,N19:O199,2,0),"")</f>
      </c>
      <c r="D19" s="65"/>
      <c r="E19" s="66"/>
      <c r="F19" s="63" t="s">
        <v>30</v>
      </c>
      <c r="G19" s="67" t="s">
        <v>64</v>
      </c>
      <c r="H19" s="68">
        <v>50</v>
      </c>
      <c r="I19" s="69">
        <v>32.75</v>
      </c>
      <c r="J19" s="70">
        <v>1637.5</v>
      </c>
      <c r="M19" s="17" t="s">
        <v>65</v>
      </c>
      <c r="N19" s="72" t="s">
        <v>66</v>
      </c>
      <c r="O19" s="73" t="s">
        <v>67</v>
      </c>
    </row>
    <row r="20" ht="15.95" customHeight="1" spans="1:15" x14ac:dyDescent="0.25">
      <c r="A20" s="44">
        <v>3</v>
      </c>
      <c r="B20" s="63" t="s">
        <v>11</v>
      </c>
      <c r="C20" s="64">
        <f>IFERROR(VLOOKUP(B18:B32,N19:O200,2,0),"")</f>
      </c>
      <c r="D20" s="65"/>
      <c r="E20" s="66"/>
      <c r="F20" s="63"/>
      <c r="G20" s="67"/>
      <c r="H20" s="68"/>
      <c r="I20" s="69"/>
      <c r="J20" s="70">
        <v>0</v>
      </c>
      <c r="M20" s="74" t="s">
        <v>68</v>
      </c>
      <c r="N20" s="72" t="s">
        <v>58</v>
      </c>
      <c r="O20" s="73" t="s">
        <v>69</v>
      </c>
    </row>
    <row r="21" ht="15.95" customHeight="1" spans="1:15" x14ac:dyDescent="0.25">
      <c r="A21" s="44">
        <v>4</v>
      </c>
      <c r="B21" s="63"/>
      <c r="C21" s="64">
        <f>IFERROR(VLOOKUP(B18:B32,N19:O201,2,0),"")</f>
      </c>
      <c r="D21" s="65"/>
      <c r="E21" s="66"/>
      <c r="F21" s="63"/>
      <c r="G21" s="67"/>
      <c r="H21" s="68"/>
      <c r="I21" s="69"/>
      <c r="J21" s="70">
        <v>0</v>
      </c>
      <c r="M21" s="17" t="s">
        <v>70</v>
      </c>
      <c r="N21" s="72" t="s">
        <v>71</v>
      </c>
      <c r="O21" s="73" t="s">
        <v>72</v>
      </c>
    </row>
    <row r="22" ht="15.95" customHeight="1" spans="1:15" x14ac:dyDescent="0.25">
      <c r="A22" s="44">
        <v>5</v>
      </c>
      <c r="B22" s="63"/>
      <c r="C22" s="64">
        <f>IFERROR(VLOOKUP(B18:B32,N19:O202,2,0),"")</f>
      </c>
      <c r="D22" s="65"/>
      <c r="E22" s="66"/>
      <c r="F22" s="63"/>
      <c r="G22" s="67"/>
      <c r="H22" s="68"/>
      <c r="I22" s="69"/>
      <c r="J22" s="70">
        <v>0</v>
      </c>
      <c r="M22" s="17" t="s">
        <v>73</v>
      </c>
      <c r="N22" s="72" t="s">
        <v>74</v>
      </c>
      <c r="O22" s="73" t="s">
        <v>75</v>
      </c>
    </row>
    <row r="23" ht="15.95" customHeight="1" spans="1:15" x14ac:dyDescent="0.25">
      <c r="A23" s="44">
        <v>6</v>
      </c>
      <c r="B23" s="63"/>
      <c r="C23" s="64">
        <f>IFERROR(VLOOKUP(B18:B32,N19:O199,2,0),"")</f>
      </c>
      <c r="D23" s="65"/>
      <c r="E23" s="66"/>
      <c r="F23" s="63"/>
      <c r="G23" s="67"/>
      <c r="H23" s="68"/>
      <c r="I23" s="69"/>
      <c r="J23" s="70">
        <v>0</v>
      </c>
      <c r="M23" s="17" t="s">
        <v>76</v>
      </c>
      <c r="N23" s="72" t="s">
        <v>77</v>
      </c>
      <c r="O23" s="73" t="s">
        <v>78</v>
      </c>
    </row>
    <row r="24" ht="15.95" customHeight="1" spans="1:15" x14ac:dyDescent="0.25">
      <c r="A24" s="44">
        <v>7</v>
      </c>
      <c r="B24" s="63"/>
      <c r="C24" s="64">
        <f>IFERROR(VLOOKUP(B24:B38,N24:O204,2,0),"")</f>
      </c>
      <c r="D24" s="65"/>
      <c r="E24" s="66"/>
      <c r="F24" s="63"/>
      <c r="G24" s="67"/>
      <c r="H24" s="68"/>
      <c r="I24" s="69"/>
      <c r="J24" s="70">
        <v>0</v>
      </c>
      <c r="M24" s="17" t="s">
        <v>79</v>
      </c>
      <c r="N24" s="72" t="s">
        <v>80</v>
      </c>
      <c r="O24" s="73" t="s">
        <v>81</v>
      </c>
    </row>
    <row r="25" ht="15.95" customHeight="1" spans="1:15" x14ac:dyDescent="0.25">
      <c r="A25" s="44">
        <v>8</v>
      </c>
      <c r="B25" s="63"/>
      <c r="C25" s="64">
        <f>IFERROR(VLOOKUP(B18:B32,N18:O198,2,0),"")</f>
      </c>
      <c r="D25" s="65"/>
      <c r="E25" s="66"/>
      <c r="F25" s="63"/>
      <c r="G25" s="67"/>
      <c r="H25" s="68"/>
      <c r="I25" s="69"/>
      <c r="J25" s="70">
        <v>0</v>
      </c>
      <c r="M25" s="17" t="s">
        <v>82</v>
      </c>
      <c r="N25" s="72" t="s">
        <v>83</v>
      </c>
      <c r="O25" s="73" t="s">
        <v>84</v>
      </c>
    </row>
    <row r="26" ht="15.95" customHeight="1" spans="1:15" x14ac:dyDescent="0.25">
      <c r="A26" s="44">
        <v>9</v>
      </c>
      <c r="B26" s="63"/>
      <c r="C26" s="64">
        <f>IFERROR(VLOOKUP(B18:B32,N18:O198,2,0),"")</f>
      </c>
      <c r="D26" s="65"/>
      <c r="E26" s="66"/>
      <c r="F26" s="63"/>
      <c r="G26" s="67"/>
      <c r="H26" s="68"/>
      <c r="I26" s="69"/>
      <c r="J26" s="70">
        <v>0</v>
      </c>
      <c r="M26" s="17" t="s">
        <v>85</v>
      </c>
      <c r="N26" s="72" t="s">
        <v>86</v>
      </c>
      <c r="O26" s="73" t="s">
        <v>87</v>
      </c>
    </row>
    <row r="27" ht="15.95" customHeight="1" spans="1:15" x14ac:dyDescent="0.25">
      <c r="A27" s="44">
        <v>10</v>
      </c>
      <c r="B27" s="63"/>
      <c r="C27" s="64">
        <f>IFERROR(VLOOKUP(B18:B32,N19:O207,2,0),"")</f>
      </c>
      <c r="D27" s="65"/>
      <c r="E27" s="66"/>
      <c r="F27" s="63"/>
      <c r="G27" s="67"/>
      <c r="H27" s="68"/>
      <c r="I27" s="69"/>
      <c r="J27" s="70">
        <v>0</v>
      </c>
      <c r="M27" s="17"/>
      <c r="N27" s="72" t="s">
        <v>88</v>
      </c>
      <c r="O27" s="73" t="s">
        <v>89</v>
      </c>
    </row>
    <row r="28" ht="15.75" customHeight="1" spans="1:15" x14ac:dyDescent="0.25">
      <c r="A28" s="44">
        <v>11</v>
      </c>
      <c r="B28" s="63"/>
      <c r="C28" s="64">
        <f>IFERROR(VLOOKUP(B18:B32,N19:O199,2,0),"")</f>
      </c>
      <c r="D28" s="65"/>
      <c r="E28" s="66"/>
      <c r="F28" s="63"/>
      <c r="G28" s="67"/>
      <c r="H28" s="68"/>
      <c r="I28" s="69"/>
      <c r="J28" s="70">
        <v>0</v>
      </c>
      <c r="N28" s="72" t="s">
        <v>90</v>
      </c>
      <c r="O28" s="73" t="s">
        <v>91</v>
      </c>
    </row>
    <row r="29" ht="15.75" customHeight="1" spans="1:15" x14ac:dyDescent="0.25">
      <c r="A29" s="44">
        <v>12</v>
      </c>
      <c r="B29" s="63"/>
      <c r="C29" s="64">
        <f>IFERROR(VLOOKUP(B18:B32,N18:O198,2,0),"")</f>
      </c>
      <c r="D29" s="65"/>
      <c r="E29" s="66"/>
      <c r="F29" s="63"/>
      <c r="G29" s="67"/>
      <c r="H29" s="68"/>
      <c r="I29" s="69"/>
      <c r="J29" s="70">
        <v>0</v>
      </c>
      <c r="N29" s="72" t="s">
        <v>92</v>
      </c>
      <c r="O29" s="73" t="s">
        <v>93</v>
      </c>
    </row>
    <row r="30" ht="15.75" customHeight="1" spans="1:15" x14ac:dyDescent="0.25">
      <c r="A30" s="44">
        <v>13</v>
      </c>
      <c r="B30" s="63"/>
      <c r="C30" s="64">
        <f>IFERROR(VLOOKUP(B18:B32,N19:O199,2,0),"")</f>
      </c>
      <c r="D30" s="65"/>
      <c r="E30" s="66"/>
      <c r="F30" s="63"/>
      <c r="G30" s="67"/>
      <c r="H30" s="68"/>
      <c r="I30" s="69"/>
      <c r="J30" s="70">
        <v>0</v>
      </c>
      <c r="N30" s="72" t="s">
        <v>94</v>
      </c>
      <c r="O30" s="73" t="s">
        <v>95</v>
      </c>
    </row>
    <row r="31" ht="15.75" customHeight="1" spans="1:15" x14ac:dyDescent="0.25">
      <c r="A31" s="44">
        <v>14</v>
      </c>
      <c r="B31" s="63"/>
      <c r="C31" s="64">
        <f>IFERROR(VLOOKUP(B18:B32,N19:O199,2,0),"")</f>
      </c>
      <c r="D31" s="65"/>
      <c r="E31" s="66"/>
      <c r="F31" s="63"/>
      <c r="G31" s="67"/>
      <c r="H31" s="68"/>
      <c r="I31" s="69"/>
      <c r="J31" s="70">
        <v>0</v>
      </c>
      <c r="N31" s="72" t="s">
        <v>96</v>
      </c>
      <c r="O31" s="73" t="s">
        <v>97</v>
      </c>
    </row>
    <row r="32" ht="15.75" customHeight="1" spans="1:15" x14ac:dyDescent="0.25">
      <c r="A32" s="44">
        <v>15</v>
      </c>
      <c r="B32" s="63"/>
      <c r="C32" s="64">
        <f>IFERROR(VLOOKUP(B18:B32,N19:O199,2,0),"")</f>
      </c>
      <c r="D32" s="65"/>
      <c r="E32" s="66"/>
      <c r="F32" s="63"/>
      <c r="G32" s="67"/>
      <c r="H32" s="68"/>
      <c r="I32" s="69"/>
      <c r="J32" s="70">
        <v>0</v>
      </c>
      <c r="N32" s="72" t="s">
        <v>98</v>
      </c>
      <c r="O32" s="73" t="s">
        <v>99</v>
      </c>
    </row>
    <row r="33" ht="10.5" customHeight="1" spans="3:15" x14ac:dyDescent="0.25">
      <c r="C33" s="75"/>
      <c r="D33" s="75"/>
      <c r="E33" s="75"/>
      <c r="I33" s="76"/>
      <c r="N33" s="72" t="s">
        <v>100</v>
      </c>
      <c r="O33" s="73" t="s">
        <v>101</v>
      </c>
    </row>
    <row r="34" ht="15.75" customHeight="1" spans="9:15" x14ac:dyDescent="0.25">
      <c r="I34" s="40" t="s">
        <v>102</v>
      </c>
      <c r="J34" s="41"/>
      <c r="N34" s="72" t="s">
        <v>63</v>
      </c>
      <c r="O34" s="73" t="s">
        <v>103</v>
      </c>
    </row>
    <row r="35" ht="15.75" customHeight="1" spans="1:15" x14ac:dyDescent="0.25">
      <c r="A35" s="77"/>
      <c r="B35" s="77"/>
      <c r="C35" s="77"/>
      <c r="D35" s="77"/>
      <c r="E35" s="77"/>
      <c r="F35" s="77"/>
      <c r="G35" s="77"/>
      <c r="H35" s="77"/>
      <c r="I35" s="78">
        <v>3187.5</v>
      </c>
      <c r="J35" s="79"/>
      <c r="N35" s="72" t="s">
        <v>104</v>
      </c>
      <c r="O35" s="73" t="s">
        <v>105</v>
      </c>
    </row>
    <row r="36" ht="15.75" customHeight="1" spans="1:15" x14ac:dyDescent="0.25">
      <c r="A36" s="80" t="s">
        <v>106</v>
      </c>
      <c r="B36" s="37"/>
      <c r="C36" s="37"/>
      <c r="D36" s="37"/>
      <c r="E36" s="37"/>
      <c r="F36" s="37"/>
      <c r="G36" s="37"/>
      <c r="H36" s="81"/>
      <c r="I36" s="82"/>
      <c r="J36" s="83"/>
      <c r="N36" s="72" t="s">
        <v>107</v>
      </c>
      <c r="O36" s="73" t="s">
        <v>108</v>
      </c>
    </row>
    <row r="37" spans="1:15" x14ac:dyDescent="0.25">
      <c r="A37" s="84"/>
      <c r="B37" s="85"/>
      <c r="C37" s="85"/>
      <c r="D37" s="85"/>
      <c r="E37" s="85"/>
      <c r="F37" s="85"/>
      <c r="G37" s="85"/>
      <c r="H37" s="85"/>
      <c r="I37" s="85"/>
      <c r="J37" s="86"/>
      <c r="N37" s="72" t="s">
        <v>109</v>
      </c>
      <c r="O37" s="73" t="s">
        <v>110</v>
      </c>
    </row>
    <row r="38" spans="1:15" x14ac:dyDescent="0.25">
      <c r="A38" s="87"/>
      <c r="B38" s="88"/>
      <c r="C38" s="88"/>
      <c r="D38" s="88"/>
      <c r="E38" s="88"/>
      <c r="F38" s="88"/>
      <c r="G38" s="88"/>
      <c r="H38" s="88"/>
      <c r="I38" s="88"/>
      <c r="J38" s="89"/>
      <c r="N38" s="72" t="s">
        <v>111</v>
      </c>
      <c r="O38" s="73" t="s">
        <v>112</v>
      </c>
    </row>
    <row r="39" spans="1:15" x14ac:dyDescent="0.25">
      <c r="A39" s="87"/>
      <c r="B39" s="88"/>
      <c r="C39" s="88"/>
      <c r="D39" s="88"/>
      <c r="E39" s="88"/>
      <c r="F39" s="88"/>
      <c r="G39" s="88"/>
      <c r="H39" s="88"/>
      <c r="I39" s="88"/>
      <c r="J39" s="89"/>
      <c r="N39" s="72" t="s">
        <v>113</v>
      </c>
      <c r="O39" s="73" t="s">
        <v>114</v>
      </c>
    </row>
    <row r="40" spans="1:15" x14ac:dyDescent="0.25">
      <c r="A40" s="87"/>
      <c r="B40" s="88"/>
      <c r="C40" s="88"/>
      <c r="D40" s="88"/>
      <c r="E40" s="88"/>
      <c r="F40" s="88"/>
      <c r="G40" s="88"/>
      <c r="H40" s="88"/>
      <c r="I40" s="88"/>
      <c r="J40" s="89"/>
      <c r="N40" s="72" t="s">
        <v>115</v>
      </c>
      <c r="O40" s="73" t="s">
        <v>116</v>
      </c>
    </row>
    <row r="41" spans="1:15" x14ac:dyDescent="0.25">
      <c r="A41" s="87"/>
      <c r="B41" s="88"/>
      <c r="C41" s="88"/>
      <c r="D41" s="88"/>
      <c r="E41" s="88"/>
      <c r="F41" s="88"/>
      <c r="G41" s="88"/>
      <c r="H41" s="88"/>
      <c r="I41" s="88"/>
      <c r="J41" s="89"/>
      <c r="N41" s="72" t="s">
        <v>117</v>
      </c>
      <c r="O41" s="73" t="s">
        <v>118</v>
      </c>
    </row>
    <row r="42" ht="15.75" customHeight="1" spans="1:15" x14ac:dyDescent="0.25">
      <c r="A42" s="90"/>
      <c r="B42" s="91"/>
      <c r="C42" s="91"/>
      <c r="D42" s="91"/>
      <c r="E42" s="91"/>
      <c r="F42" s="91"/>
      <c r="G42" s="91"/>
      <c r="H42" s="91"/>
      <c r="I42" s="91"/>
      <c r="J42" s="92"/>
      <c r="N42" s="72" t="s">
        <v>119</v>
      </c>
      <c r="O42" s="73" t="s">
        <v>120</v>
      </c>
    </row>
    <row r="43" ht="15.75" customHeight="1" spans="1:15" x14ac:dyDescent="0.25">
      <c r="A43" s="40" t="s">
        <v>121</v>
      </c>
      <c r="B43" s="33"/>
      <c r="C43" s="33"/>
      <c r="D43" s="33"/>
      <c r="E43" s="33"/>
      <c r="F43" s="33"/>
      <c r="G43" s="33"/>
      <c r="H43" s="33"/>
      <c r="I43" s="33"/>
      <c r="J43" s="41"/>
      <c r="N43" s="72" t="s">
        <v>122</v>
      </c>
      <c r="O43" s="73" t="s">
        <v>123</v>
      </c>
    </row>
    <row r="44" ht="15.75" customHeight="1" spans="1:15" x14ac:dyDescent="0.25">
      <c r="A44" s="40" t="s">
        <v>124</v>
      </c>
      <c r="B44" s="33"/>
      <c r="C44" s="33"/>
      <c r="D44" s="41"/>
      <c r="E44" s="42" t="s">
        <v>26</v>
      </c>
      <c r="F44" s="40" t="s">
        <v>25</v>
      </c>
      <c r="G44" s="33"/>
      <c r="H44" s="41"/>
      <c r="I44" s="40" t="s">
        <v>125</v>
      </c>
      <c r="J44" s="41"/>
      <c r="N44" s="72" t="s">
        <v>126</v>
      </c>
      <c r="O44" s="73" t="s">
        <v>127</v>
      </c>
    </row>
    <row r="45" ht="15.75" customHeight="1" spans="1:15" x14ac:dyDescent="0.25">
      <c r="A45" s="93" t="s">
        <v>38</v>
      </c>
      <c r="B45" s="94"/>
      <c r="C45" s="94"/>
      <c r="D45" s="95"/>
      <c r="E45" s="96">
        <v>1</v>
      </c>
      <c r="F45" s="97" t="s">
        <v>45</v>
      </c>
      <c r="G45" s="32"/>
      <c r="H45" s="98"/>
      <c r="I45" s="99">
        <v>3187.5</v>
      </c>
      <c r="J45" s="100"/>
      <c r="N45" s="72" t="s">
        <v>128</v>
      </c>
      <c r="O45" s="73" t="s">
        <v>129</v>
      </c>
    </row>
    <row r="46" ht="15.75" customHeight="1" spans="1:15" x14ac:dyDescent="0.25">
      <c r="A46" s="101" t="s">
        <v>50</v>
      </c>
      <c r="B46" s="102"/>
      <c r="C46" s="102"/>
      <c r="D46" s="103"/>
      <c r="E46" s="96">
        <f>100%-E45</f>
        <v>0</v>
      </c>
      <c r="F46" s="97"/>
      <c r="G46" s="32"/>
      <c r="H46" s="98"/>
      <c r="I46" s="104"/>
      <c r="J46" s="105"/>
      <c r="N46" s="72" t="s">
        <v>130</v>
      </c>
      <c r="O46" s="73" t="s">
        <v>131</v>
      </c>
    </row>
    <row r="47" spans="14:15" x14ac:dyDescent="0.25">
      <c r="N47" s="72" t="s">
        <v>132</v>
      </c>
      <c r="O47" s="73" t="s">
        <v>133</v>
      </c>
    </row>
    <row r="48" spans="1:15" x14ac:dyDescent="0.25">
      <c r="A48" s="106" t="s">
        <v>134</v>
      </c>
      <c r="B48" s="106"/>
      <c r="C48" s="106"/>
      <c r="D48" s="3" t="s">
        <v>135</v>
      </c>
      <c r="E48" s="3"/>
      <c r="F48" s="106" t="s">
        <v>136</v>
      </c>
      <c r="G48" s="106"/>
      <c r="H48" s="3" t="s">
        <v>137</v>
      </c>
      <c r="I48" s="3"/>
      <c r="J48" s="3"/>
      <c r="N48" s="72" t="s">
        <v>138</v>
      </c>
      <c r="O48" s="73" t="s">
        <v>139</v>
      </c>
    </row>
    <row r="49" ht="15.75" customHeight="1" spans="14:15" x14ac:dyDescent="0.25">
      <c r="N49" s="72" t="s">
        <v>140</v>
      </c>
      <c r="O49" s="73" t="s">
        <v>141</v>
      </c>
    </row>
    <row r="50" ht="15.75" customHeight="1" spans="5:15" x14ac:dyDescent="0.25">
      <c r="E50" s="40" t="s">
        <v>142</v>
      </c>
      <c r="F50" s="33"/>
      <c r="G50" s="33"/>
      <c r="H50" s="33"/>
      <c r="I50" s="33"/>
      <c r="J50" s="41"/>
      <c r="N50" s="72" t="s">
        <v>143</v>
      </c>
      <c r="O50" s="73" t="s">
        <v>144</v>
      </c>
    </row>
    <row r="51" ht="15.75" customHeight="1" spans="2:15" x14ac:dyDescent="0.25">
      <c r="B51" s="45"/>
      <c r="C51" s="107" t="s">
        <v>145</v>
      </c>
      <c r="D51" s="106"/>
      <c r="E51" s="108"/>
      <c r="F51" s="109"/>
      <c r="G51" s="109"/>
      <c r="H51" s="109"/>
      <c r="I51" s="109"/>
      <c r="J51" s="110"/>
      <c r="N51" s="72" t="s">
        <v>146</v>
      </c>
      <c r="O51" s="73" t="s">
        <v>147</v>
      </c>
    </row>
    <row r="52" ht="15.75" customHeight="1" spans="5:15" x14ac:dyDescent="0.25">
      <c r="E52" s="111"/>
      <c r="F52" s="112"/>
      <c r="G52" s="112"/>
      <c r="H52" s="112"/>
      <c r="I52" s="112"/>
      <c r="J52" s="113"/>
      <c r="N52" s="72" t="s">
        <v>148</v>
      </c>
      <c r="O52" s="73" t="s">
        <v>149</v>
      </c>
    </row>
    <row r="53" ht="15.75" customHeight="1" spans="2:15" x14ac:dyDescent="0.25">
      <c r="B53" s="45"/>
      <c r="C53" s="107" t="s">
        <v>150</v>
      </c>
      <c r="D53" s="106"/>
      <c r="E53" s="111"/>
      <c r="F53" s="112"/>
      <c r="G53" s="112"/>
      <c r="H53" s="112"/>
      <c r="I53" s="112"/>
      <c r="J53" s="113"/>
      <c r="N53" s="72" t="s">
        <v>151</v>
      </c>
      <c r="O53" s="73" t="s">
        <v>152</v>
      </c>
    </row>
    <row r="54" ht="15.75" customHeight="1" spans="5:15" x14ac:dyDescent="0.25">
      <c r="E54" s="114"/>
      <c r="F54" s="115"/>
      <c r="G54" s="115"/>
      <c r="H54" s="115"/>
      <c r="I54" s="115"/>
      <c r="J54" s="116"/>
      <c r="N54" s="72" t="s">
        <v>153</v>
      </c>
      <c r="O54" s="73" t="s">
        <v>154</v>
      </c>
    </row>
    <row r="55" spans="14:15" x14ac:dyDescent="0.25">
      <c r="N55" s="72" t="s">
        <v>155</v>
      </c>
      <c r="O55" s="73" t="s">
        <v>156</v>
      </c>
    </row>
    <row r="56" spans="14:15" x14ac:dyDescent="0.25">
      <c r="N56" s="72" t="s">
        <v>157</v>
      </c>
      <c r="O56" s="73" t="s">
        <v>158</v>
      </c>
    </row>
    <row r="57" spans="14:15" x14ac:dyDescent="0.25">
      <c r="N57" s="72" t="s">
        <v>159</v>
      </c>
      <c r="O57" s="73" t="s">
        <v>160</v>
      </c>
    </row>
    <row r="58" spans="14:15" x14ac:dyDescent="0.25">
      <c r="N58" s="72" t="s">
        <v>161</v>
      </c>
      <c r="O58" s="73" t="s">
        <v>162</v>
      </c>
    </row>
    <row r="59" spans="14:15" x14ac:dyDescent="0.25">
      <c r="N59" s="72" t="s">
        <v>163</v>
      </c>
      <c r="O59" s="73" t="s">
        <v>164</v>
      </c>
    </row>
    <row r="60" spans="14:15" x14ac:dyDescent="0.25">
      <c r="N60" s="72" t="s">
        <v>165</v>
      </c>
      <c r="O60" s="73" t="s">
        <v>166</v>
      </c>
    </row>
    <row r="61" spans="14:15" x14ac:dyDescent="0.25">
      <c r="N61" s="72" t="s">
        <v>167</v>
      </c>
      <c r="O61" s="73" t="s">
        <v>168</v>
      </c>
    </row>
    <row r="62" spans="14:15" x14ac:dyDescent="0.25">
      <c r="N62" s="72" t="s">
        <v>169</v>
      </c>
      <c r="O62" s="73" t="s">
        <v>170</v>
      </c>
    </row>
    <row r="63" spans="14:15" x14ac:dyDescent="0.25">
      <c r="N63" s="72" t="s">
        <v>171</v>
      </c>
      <c r="O63" s="73" t="s">
        <v>172</v>
      </c>
    </row>
    <row r="64" spans="14:15" x14ac:dyDescent="0.25">
      <c r="N64" s="72" t="s">
        <v>173</v>
      </c>
      <c r="O64" s="73" t="s">
        <v>174</v>
      </c>
    </row>
    <row r="65" spans="14:15" x14ac:dyDescent="0.25">
      <c r="N65" s="72" t="s">
        <v>175</v>
      </c>
      <c r="O65" s="73" t="s">
        <v>176</v>
      </c>
    </row>
    <row r="66" spans="14:15" x14ac:dyDescent="0.25">
      <c r="N66" s="72" t="s">
        <v>177</v>
      </c>
      <c r="O66" s="73" t="s">
        <v>178</v>
      </c>
    </row>
    <row r="67" spans="14:15" x14ac:dyDescent="0.25">
      <c r="N67" s="72" t="s">
        <v>179</v>
      </c>
      <c r="O67" s="73" t="s">
        <v>180</v>
      </c>
    </row>
    <row r="68" spans="14:15" x14ac:dyDescent="0.25">
      <c r="N68" s="72" t="s">
        <v>181</v>
      </c>
      <c r="O68" s="73" t="s">
        <v>182</v>
      </c>
    </row>
    <row r="69" spans="14:15" x14ac:dyDescent="0.25">
      <c r="N69" s="72" t="s">
        <v>183</v>
      </c>
      <c r="O69" s="73" t="s">
        <v>184</v>
      </c>
    </row>
    <row r="70" spans="14:15" x14ac:dyDescent="0.25">
      <c r="N70" s="72" t="s">
        <v>185</v>
      </c>
      <c r="O70" s="73" t="s">
        <v>186</v>
      </c>
    </row>
    <row r="71" spans="14:15" x14ac:dyDescent="0.25">
      <c r="N71" s="72" t="s">
        <v>187</v>
      </c>
      <c r="O71" s="73" t="s">
        <v>188</v>
      </c>
    </row>
    <row r="72" spans="14:15" x14ac:dyDescent="0.25">
      <c r="N72" s="72" t="s">
        <v>189</v>
      </c>
      <c r="O72" s="73" t="s">
        <v>190</v>
      </c>
    </row>
    <row r="73" spans="14:15" x14ac:dyDescent="0.25">
      <c r="N73" s="72" t="s">
        <v>191</v>
      </c>
      <c r="O73" s="73" t="s">
        <v>192</v>
      </c>
    </row>
    <row r="74" spans="14:15" x14ac:dyDescent="0.25">
      <c r="N74" s="72" t="s">
        <v>193</v>
      </c>
      <c r="O74" s="73" t="s">
        <v>194</v>
      </c>
    </row>
    <row r="75" spans="14:15" x14ac:dyDescent="0.25">
      <c r="N75" s="72" t="s">
        <v>195</v>
      </c>
      <c r="O75" s="73" t="s">
        <v>196</v>
      </c>
    </row>
    <row r="76" spans="14:15" x14ac:dyDescent="0.25">
      <c r="N76" s="72" t="s">
        <v>197</v>
      </c>
      <c r="O76" s="73" t="s">
        <v>198</v>
      </c>
    </row>
    <row r="77" spans="14:15" x14ac:dyDescent="0.25">
      <c r="N77" s="72" t="s">
        <v>199</v>
      </c>
      <c r="O77" s="73" t="s">
        <v>200</v>
      </c>
    </row>
    <row r="78" spans="14:15" x14ac:dyDescent="0.25">
      <c r="N78" s="72" t="s">
        <v>201</v>
      </c>
      <c r="O78" s="73" t="s">
        <v>202</v>
      </c>
    </row>
    <row r="79" spans="14:15" x14ac:dyDescent="0.25">
      <c r="N79" s="72" t="s">
        <v>203</v>
      </c>
      <c r="O79" s="73" t="s">
        <v>204</v>
      </c>
    </row>
    <row r="80" spans="14:15" x14ac:dyDescent="0.25">
      <c r="N80" s="72" t="s">
        <v>205</v>
      </c>
      <c r="O80" s="73" t="s">
        <v>206</v>
      </c>
    </row>
    <row r="81" spans="14:15" x14ac:dyDescent="0.25">
      <c r="N81" s="72" t="s">
        <v>207</v>
      </c>
      <c r="O81" s="73" t="s">
        <v>208</v>
      </c>
    </row>
    <row r="82" spans="14:15" x14ac:dyDescent="0.25">
      <c r="N82" s="72" t="s">
        <v>209</v>
      </c>
      <c r="O82" s="73" t="s">
        <v>210</v>
      </c>
    </row>
    <row r="83" spans="14:15" x14ac:dyDescent="0.25">
      <c r="N83" s="72" t="s">
        <v>211</v>
      </c>
      <c r="O83" s="73" t="s">
        <v>212</v>
      </c>
    </row>
    <row r="84" spans="14:15" x14ac:dyDescent="0.25">
      <c r="N84" s="72" t="s">
        <v>213</v>
      </c>
      <c r="O84" s="73" t="s">
        <v>214</v>
      </c>
    </row>
    <row r="85" spans="14:15" x14ac:dyDescent="0.25">
      <c r="N85" s="72" t="s">
        <v>215</v>
      </c>
      <c r="O85" s="73" t="s">
        <v>216</v>
      </c>
    </row>
    <row r="86" spans="14:15" x14ac:dyDescent="0.25">
      <c r="N86" s="72" t="s">
        <v>217</v>
      </c>
      <c r="O86" s="73" t="s">
        <v>218</v>
      </c>
    </row>
    <row r="87" spans="14:15" x14ac:dyDescent="0.25">
      <c r="N87" s="72" t="s">
        <v>219</v>
      </c>
      <c r="O87" s="73" t="s">
        <v>220</v>
      </c>
    </row>
    <row r="88" spans="14:15" x14ac:dyDescent="0.25">
      <c r="N88" s="72" t="s">
        <v>221</v>
      </c>
      <c r="O88" s="73" t="s">
        <v>222</v>
      </c>
    </row>
    <row r="89" spans="14:15" x14ac:dyDescent="0.25">
      <c r="N89" s="72" t="s">
        <v>223</v>
      </c>
      <c r="O89" s="73" t="s">
        <v>224</v>
      </c>
    </row>
    <row r="90" spans="14:15" x14ac:dyDescent="0.25">
      <c r="N90" s="72" t="s">
        <v>225</v>
      </c>
      <c r="O90" s="73" t="s">
        <v>226</v>
      </c>
    </row>
    <row r="91" spans="14:15" x14ac:dyDescent="0.25">
      <c r="N91" s="72" t="s">
        <v>227</v>
      </c>
      <c r="O91" s="73" t="s">
        <v>228</v>
      </c>
    </row>
    <row r="92" spans="14:15" x14ac:dyDescent="0.25">
      <c r="N92" s="72" t="s">
        <v>229</v>
      </c>
      <c r="O92" s="73" t="s">
        <v>230</v>
      </c>
    </row>
    <row r="93" spans="14:15" x14ac:dyDescent="0.25">
      <c r="N93" s="72" t="s">
        <v>231</v>
      </c>
      <c r="O93" s="73" t="s">
        <v>232</v>
      </c>
    </row>
    <row r="94" spans="14:15" x14ac:dyDescent="0.25">
      <c r="N94" s="72" t="s">
        <v>233</v>
      </c>
      <c r="O94" s="73" t="s">
        <v>234</v>
      </c>
    </row>
    <row r="95" spans="14:15" x14ac:dyDescent="0.25">
      <c r="N95" s="72" t="s">
        <v>235</v>
      </c>
      <c r="O95" s="73" t="s">
        <v>236</v>
      </c>
    </row>
    <row r="96" spans="14:15" x14ac:dyDescent="0.25">
      <c r="N96" s="72" t="s">
        <v>237</v>
      </c>
      <c r="O96" s="73" t="s">
        <v>238</v>
      </c>
    </row>
    <row r="97" spans="14:15" x14ac:dyDescent="0.25">
      <c r="N97" s="72" t="s">
        <v>239</v>
      </c>
      <c r="O97" s="73" t="s">
        <v>240</v>
      </c>
    </row>
    <row r="98" spans="14:15" x14ac:dyDescent="0.25">
      <c r="N98" s="72" t="s">
        <v>241</v>
      </c>
      <c r="O98" s="73" t="s">
        <v>242</v>
      </c>
    </row>
    <row r="99" spans="14:15" x14ac:dyDescent="0.25">
      <c r="N99" s="72" t="s">
        <v>243</v>
      </c>
      <c r="O99" s="73" t="s">
        <v>244</v>
      </c>
    </row>
    <row r="100" spans="14:15" x14ac:dyDescent="0.25">
      <c r="N100" s="72" t="s">
        <v>245</v>
      </c>
      <c r="O100" s="73" t="s">
        <v>246</v>
      </c>
    </row>
    <row r="101" spans="14:15" x14ac:dyDescent="0.25">
      <c r="N101" s="72" t="s">
        <v>247</v>
      </c>
      <c r="O101" s="73" t="s">
        <v>248</v>
      </c>
    </row>
    <row r="102" spans="14:15" x14ac:dyDescent="0.25">
      <c r="N102" s="72" t="s">
        <v>249</v>
      </c>
      <c r="O102" s="73" t="s">
        <v>250</v>
      </c>
    </row>
    <row r="103" spans="14:15" x14ac:dyDescent="0.25">
      <c r="N103" s="72" t="s">
        <v>251</v>
      </c>
      <c r="O103" s="73" t="s">
        <v>252</v>
      </c>
    </row>
    <row r="104" spans="14:15" x14ac:dyDescent="0.25">
      <c r="N104" s="72" t="s">
        <v>253</v>
      </c>
      <c r="O104" s="73" t="s">
        <v>254</v>
      </c>
    </row>
    <row r="105" spans="14:15" x14ac:dyDescent="0.25">
      <c r="N105" s="72" t="s">
        <v>255</v>
      </c>
      <c r="O105" s="73" t="s">
        <v>256</v>
      </c>
    </row>
    <row r="106" spans="14:15" x14ac:dyDescent="0.25">
      <c r="N106" s="72" t="s">
        <v>257</v>
      </c>
      <c r="O106" s="73" t="s">
        <v>258</v>
      </c>
    </row>
    <row r="107" spans="14:15" x14ac:dyDescent="0.25">
      <c r="N107" s="72" t="s">
        <v>259</v>
      </c>
      <c r="O107" s="73" t="s">
        <v>260</v>
      </c>
    </row>
    <row r="108" spans="14:15" x14ac:dyDescent="0.25">
      <c r="N108" s="72" t="s">
        <v>261</v>
      </c>
      <c r="O108" s="73" t="s">
        <v>262</v>
      </c>
    </row>
    <row r="109" spans="14:15" x14ac:dyDescent="0.25">
      <c r="N109" s="72" t="s">
        <v>263</v>
      </c>
      <c r="O109" s="73" t="s">
        <v>264</v>
      </c>
    </row>
    <row r="110" spans="14:15" x14ac:dyDescent="0.25">
      <c r="N110" s="72" t="s">
        <v>265</v>
      </c>
      <c r="O110" s="73" t="s">
        <v>266</v>
      </c>
    </row>
    <row r="111" spans="14:15" x14ac:dyDescent="0.25">
      <c r="N111" s="72" t="s">
        <v>267</v>
      </c>
      <c r="O111" s="73" t="s">
        <v>268</v>
      </c>
    </row>
    <row r="112" spans="14:15" x14ac:dyDescent="0.25">
      <c r="N112" s="72" t="s">
        <v>269</v>
      </c>
      <c r="O112" s="73" t="s">
        <v>270</v>
      </c>
    </row>
    <row r="113" spans="14:15" x14ac:dyDescent="0.25">
      <c r="N113" s="72" t="s">
        <v>271</v>
      </c>
      <c r="O113" s="73" t="s">
        <v>272</v>
      </c>
    </row>
    <row r="114" spans="14:15" x14ac:dyDescent="0.25">
      <c r="N114" s="72" t="s">
        <v>273</v>
      </c>
      <c r="O114" s="73" t="s">
        <v>274</v>
      </c>
    </row>
    <row r="115" spans="14:15" x14ac:dyDescent="0.25">
      <c r="N115" s="72" t="s">
        <v>275</v>
      </c>
      <c r="O115" s="73" t="s">
        <v>276</v>
      </c>
    </row>
    <row r="116" spans="14:15" x14ac:dyDescent="0.25">
      <c r="N116" s="72" t="s">
        <v>277</v>
      </c>
      <c r="O116" s="73" t="s">
        <v>278</v>
      </c>
    </row>
    <row r="117" spans="14:15" x14ac:dyDescent="0.25">
      <c r="N117" s="72" t="s">
        <v>279</v>
      </c>
      <c r="O117" s="73" t="s">
        <v>280</v>
      </c>
    </row>
    <row r="118" spans="14:15" x14ac:dyDescent="0.25">
      <c r="N118" s="72" t="s">
        <v>281</v>
      </c>
      <c r="O118" s="73" t="s">
        <v>282</v>
      </c>
    </row>
    <row r="119" spans="14:15" x14ac:dyDescent="0.25">
      <c r="N119" s="72" t="s">
        <v>283</v>
      </c>
      <c r="O119" s="73" t="s">
        <v>284</v>
      </c>
    </row>
    <row r="120" spans="14:15" x14ac:dyDescent="0.25">
      <c r="N120" s="72" t="s">
        <v>285</v>
      </c>
      <c r="O120" s="73" t="s">
        <v>286</v>
      </c>
    </row>
    <row r="121" spans="14:15" x14ac:dyDescent="0.25">
      <c r="N121" s="72" t="s">
        <v>287</v>
      </c>
      <c r="O121" s="73" t="s">
        <v>288</v>
      </c>
    </row>
    <row r="122" spans="14:15" x14ac:dyDescent="0.25">
      <c r="N122" s="72" t="s">
        <v>289</v>
      </c>
      <c r="O122" s="73" t="s">
        <v>290</v>
      </c>
    </row>
    <row r="123" spans="14:15" x14ac:dyDescent="0.25">
      <c r="N123" s="72" t="s">
        <v>291</v>
      </c>
      <c r="O123" s="73" t="s">
        <v>292</v>
      </c>
    </row>
    <row r="124" spans="14:15" x14ac:dyDescent="0.25">
      <c r="N124" s="72" t="s">
        <v>293</v>
      </c>
      <c r="O124" s="73" t="s">
        <v>294</v>
      </c>
    </row>
    <row r="125" spans="14:15" x14ac:dyDescent="0.25">
      <c r="N125" s="72" t="s">
        <v>295</v>
      </c>
      <c r="O125" s="73" t="s">
        <v>296</v>
      </c>
    </row>
    <row r="126" spans="14:15" x14ac:dyDescent="0.25">
      <c r="N126" s="72" t="s">
        <v>297</v>
      </c>
      <c r="O126" s="73" t="s">
        <v>298</v>
      </c>
    </row>
    <row r="127" spans="14:15" x14ac:dyDescent="0.25">
      <c r="N127" s="72" t="s">
        <v>299</v>
      </c>
      <c r="O127" s="73" t="s">
        <v>300</v>
      </c>
    </row>
    <row r="128" spans="14:15" x14ac:dyDescent="0.25">
      <c r="N128" s="72" t="s">
        <v>301</v>
      </c>
      <c r="O128" s="73" t="s">
        <v>302</v>
      </c>
    </row>
    <row r="129" spans="14:15" x14ac:dyDescent="0.25">
      <c r="N129" s="72" t="s">
        <v>303</v>
      </c>
      <c r="O129" s="73" t="s">
        <v>304</v>
      </c>
    </row>
    <row r="130" spans="14:15" x14ac:dyDescent="0.25">
      <c r="N130" s="72" t="s">
        <v>305</v>
      </c>
      <c r="O130" s="73" t="s">
        <v>306</v>
      </c>
    </row>
    <row r="131" spans="14:15" x14ac:dyDescent="0.25">
      <c r="N131" s="72" t="s">
        <v>307</v>
      </c>
      <c r="O131" s="73" t="s">
        <v>308</v>
      </c>
    </row>
    <row r="132" spans="14:15" x14ac:dyDescent="0.25">
      <c r="N132" s="72" t="s">
        <v>309</v>
      </c>
      <c r="O132" s="73" t="s">
        <v>310</v>
      </c>
    </row>
    <row r="133" spans="14:15" x14ac:dyDescent="0.25">
      <c r="N133" s="72" t="s">
        <v>311</v>
      </c>
      <c r="O133" s="73" t="s">
        <v>312</v>
      </c>
    </row>
    <row r="134" spans="14:15" x14ac:dyDescent="0.25">
      <c r="N134" s="72" t="s">
        <v>313</v>
      </c>
      <c r="O134" s="73" t="s">
        <v>314</v>
      </c>
    </row>
    <row r="135" spans="14:15" x14ac:dyDescent="0.25">
      <c r="N135" s="72" t="s">
        <v>315</v>
      </c>
      <c r="O135" s="73" t="s">
        <v>316</v>
      </c>
    </row>
    <row r="136" spans="14:15" x14ac:dyDescent="0.25">
      <c r="N136" s="72" t="s">
        <v>317</v>
      </c>
      <c r="O136" s="73" t="s">
        <v>318</v>
      </c>
    </row>
    <row r="137" spans="14:15" x14ac:dyDescent="0.25">
      <c r="N137" s="72" t="s">
        <v>319</v>
      </c>
      <c r="O137" s="73" t="s">
        <v>320</v>
      </c>
    </row>
    <row r="138" spans="14:15" x14ac:dyDescent="0.25">
      <c r="N138" s="72" t="s">
        <v>321</v>
      </c>
      <c r="O138" s="73" t="s">
        <v>322</v>
      </c>
    </row>
    <row r="139" spans="14:15" x14ac:dyDescent="0.25">
      <c r="N139" s="72" t="s">
        <v>323</v>
      </c>
      <c r="O139" s="73" t="s">
        <v>324</v>
      </c>
    </row>
    <row r="140" spans="14:15" x14ac:dyDescent="0.25">
      <c r="N140" s="72" t="s">
        <v>325</v>
      </c>
      <c r="O140" s="73" t="s">
        <v>326</v>
      </c>
    </row>
    <row r="141" spans="14:15" x14ac:dyDescent="0.25">
      <c r="N141" s="72" t="s">
        <v>327</v>
      </c>
      <c r="O141" s="73" t="s">
        <v>328</v>
      </c>
    </row>
    <row r="142" spans="14:15" x14ac:dyDescent="0.25">
      <c r="N142" s="72" t="s">
        <v>329</v>
      </c>
      <c r="O142" s="73" t="s">
        <v>330</v>
      </c>
    </row>
    <row r="143" spans="14:15" x14ac:dyDescent="0.25">
      <c r="N143" s="72" t="s">
        <v>331</v>
      </c>
      <c r="O143" s="73" t="s">
        <v>332</v>
      </c>
    </row>
    <row r="144" spans="14:15" x14ac:dyDescent="0.25">
      <c r="N144" s="72" t="s">
        <v>333</v>
      </c>
      <c r="O144" s="73" t="s">
        <v>334</v>
      </c>
    </row>
    <row r="145" spans="14:15" x14ac:dyDescent="0.25">
      <c r="N145" s="72" t="s">
        <v>335</v>
      </c>
      <c r="O145" s="73" t="s">
        <v>336</v>
      </c>
    </row>
    <row r="146" spans="14:15" x14ac:dyDescent="0.25">
      <c r="N146" s="72" t="s">
        <v>337</v>
      </c>
      <c r="O146" s="73" t="s">
        <v>338</v>
      </c>
    </row>
    <row r="147" spans="14:15" x14ac:dyDescent="0.25">
      <c r="N147" s="72" t="s">
        <v>339</v>
      </c>
      <c r="O147" s="73" t="s">
        <v>340</v>
      </c>
    </row>
    <row r="148" spans="14:15" x14ac:dyDescent="0.25">
      <c r="N148" s="72" t="s">
        <v>341</v>
      </c>
      <c r="O148" s="73" t="s">
        <v>342</v>
      </c>
    </row>
    <row r="149" spans="14:15" x14ac:dyDescent="0.25">
      <c r="N149" s="72" t="s">
        <v>343</v>
      </c>
      <c r="O149" s="73" t="s">
        <v>344</v>
      </c>
    </row>
    <row r="150" spans="14:15" x14ac:dyDescent="0.25">
      <c r="N150" s="72" t="s">
        <v>345</v>
      </c>
      <c r="O150" s="73" t="s">
        <v>346</v>
      </c>
    </row>
    <row r="151" spans="14:15" x14ac:dyDescent="0.25">
      <c r="N151" s="72" t="s">
        <v>347</v>
      </c>
      <c r="O151" s="73" t="s">
        <v>348</v>
      </c>
    </row>
    <row r="152" spans="14:15" x14ac:dyDescent="0.25">
      <c r="N152" s="72" t="s">
        <v>349</v>
      </c>
      <c r="O152" s="73" t="s">
        <v>350</v>
      </c>
    </row>
    <row r="153" spans="14:15" x14ac:dyDescent="0.25">
      <c r="N153" s="72" t="s">
        <v>351</v>
      </c>
      <c r="O153" s="73" t="s">
        <v>352</v>
      </c>
    </row>
    <row r="154" spans="14:15" x14ac:dyDescent="0.25">
      <c r="N154" s="72" t="s">
        <v>353</v>
      </c>
      <c r="O154" s="73" t="s">
        <v>354</v>
      </c>
    </row>
    <row r="155" spans="14:15" x14ac:dyDescent="0.25">
      <c r="N155" s="72" t="s">
        <v>355</v>
      </c>
      <c r="O155" s="73" t="s">
        <v>356</v>
      </c>
    </row>
    <row r="156" spans="14:15" x14ac:dyDescent="0.25">
      <c r="N156" s="72" t="s">
        <v>357</v>
      </c>
      <c r="O156" s="73" t="s">
        <v>358</v>
      </c>
    </row>
    <row r="157" spans="14:15" x14ac:dyDescent="0.25">
      <c r="N157" s="72" t="s">
        <v>359</v>
      </c>
      <c r="O157" s="73" t="s">
        <v>360</v>
      </c>
    </row>
    <row r="158" spans="14:15" x14ac:dyDescent="0.25">
      <c r="N158" s="72" t="s">
        <v>361</v>
      </c>
      <c r="O158" s="73" t="s">
        <v>362</v>
      </c>
    </row>
    <row r="159" spans="14:15" x14ac:dyDescent="0.25">
      <c r="N159" s="72" t="s">
        <v>363</v>
      </c>
      <c r="O159" s="73" t="s">
        <v>364</v>
      </c>
    </row>
    <row r="160" spans="14:15" x14ac:dyDescent="0.25">
      <c r="N160" s="72" t="s">
        <v>365</v>
      </c>
      <c r="O160" s="73" t="s">
        <v>366</v>
      </c>
    </row>
    <row r="161" spans="14:15" x14ac:dyDescent="0.25">
      <c r="N161" s="72" t="s">
        <v>367</v>
      </c>
      <c r="O161" s="73" t="s">
        <v>368</v>
      </c>
    </row>
    <row r="162" spans="14:15" x14ac:dyDescent="0.25">
      <c r="N162" s="72" t="s">
        <v>369</v>
      </c>
      <c r="O162" s="73" t="s">
        <v>370</v>
      </c>
    </row>
    <row r="163" spans="14:15" x14ac:dyDescent="0.25">
      <c r="N163" s="72" t="s">
        <v>371</v>
      </c>
      <c r="O163" s="73" t="s">
        <v>372</v>
      </c>
    </row>
    <row r="164" spans="14:15" x14ac:dyDescent="0.25">
      <c r="N164" s="72" t="s">
        <v>373</v>
      </c>
      <c r="O164" s="73" t="s">
        <v>374</v>
      </c>
    </row>
    <row r="165" spans="14:15" x14ac:dyDescent="0.25">
      <c r="N165" s="72" t="s">
        <v>375</v>
      </c>
      <c r="O165" s="73" t="s">
        <v>376</v>
      </c>
    </row>
    <row r="166" spans="14:15" x14ac:dyDescent="0.25">
      <c r="N166" s="72" t="s">
        <v>377</v>
      </c>
      <c r="O166" s="73" t="s">
        <v>378</v>
      </c>
    </row>
    <row r="167" spans="14:15" x14ac:dyDescent="0.25">
      <c r="N167" s="72" t="s">
        <v>379</v>
      </c>
      <c r="O167" s="73" t="s">
        <v>380</v>
      </c>
    </row>
    <row r="168" spans="14:15" x14ac:dyDescent="0.25">
      <c r="N168" s="72" t="s">
        <v>381</v>
      </c>
      <c r="O168" s="73" t="s">
        <v>382</v>
      </c>
    </row>
    <row r="169" spans="14:15" x14ac:dyDescent="0.25">
      <c r="N169" s="72" t="s">
        <v>383</v>
      </c>
      <c r="O169" s="73" t="s">
        <v>384</v>
      </c>
    </row>
    <row r="170" spans="14:15" x14ac:dyDescent="0.25">
      <c r="N170" s="72" t="s">
        <v>385</v>
      </c>
      <c r="O170" s="73" t="s">
        <v>386</v>
      </c>
    </row>
    <row r="171" spans="14:15" x14ac:dyDescent="0.25">
      <c r="N171" s="117" t="s">
        <v>387</v>
      </c>
      <c r="O171" s="73" t="s">
        <v>328</v>
      </c>
    </row>
    <row r="172" spans="14:15" x14ac:dyDescent="0.25">
      <c r="N172" s="72" t="s">
        <v>388</v>
      </c>
      <c r="O172" s="73" t="s">
        <v>346</v>
      </c>
    </row>
    <row r="173" spans="14:15" x14ac:dyDescent="0.25">
      <c r="N173" s="72" t="s">
        <v>389</v>
      </c>
      <c r="O173" s="73" t="s">
        <v>322</v>
      </c>
    </row>
    <row r="174" spans="14:15" x14ac:dyDescent="0.25">
      <c r="N174" s="72" t="s">
        <v>390</v>
      </c>
      <c r="O174" s="73" t="s">
        <v>391</v>
      </c>
    </row>
  </sheetData>
  <mergeCells count="67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9:B9"/>
    <mergeCell ref="C9:G9"/>
    <mergeCell ref="H9:I9"/>
    <mergeCell ref="A11:J11"/>
    <mergeCell ref="A12:B12"/>
    <mergeCell ref="C12:F12"/>
    <mergeCell ref="H12:J12"/>
    <mergeCell ref="A13:B13"/>
    <mergeCell ref="C13:D13"/>
    <mergeCell ref="F13:J13"/>
    <mergeCell ref="D14:J14"/>
    <mergeCell ref="A15:B15"/>
    <mergeCell ref="C15:E15"/>
    <mergeCell ref="G15:J1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I34:J34"/>
    <mergeCell ref="I35:J36"/>
    <mergeCell ref="A36:H36"/>
    <mergeCell ref="A37:J42"/>
    <mergeCell ref="A43:J43"/>
    <mergeCell ref="A44:D44"/>
    <mergeCell ref="F44:H44"/>
    <mergeCell ref="I44:J44"/>
    <mergeCell ref="A45:D45"/>
    <mergeCell ref="F45:H45"/>
    <mergeCell ref="I45:J46"/>
    <mergeCell ref="A46:D46"/>
    <mergeCell ref="F46:H46"/>
    <mergeCell ref="A48:C48"/>
    <mergeCell ref="D48:E48"/>
    <mergeCell ref="F48:G48"/>
    <mergeCell ref="H48:J48"/>
    <mergeCell ref="E50:J50"/>
    <mergeCell ref="C51:D51"/>
    <mergeCell ref="E51:J54"/>
    <mergeCell ref="C53:D53"/>
  </mergeCells>
  <dataValidations count="7">
    <dataValidation type="list" allowBlank="1" showInputMessage="1" showErrorMessage="1" sqref="A45:D46">
      <formula1>$O$12:$O$16</formula1>
    </dataValidation>
    <dataValidation type="list" allowBlank="1" showInputMessage="1" showErrorMessage="1" sqref="C6:E6">
      <formula1>$M$19:$M$26</formula1>
    </dataValidation>
    <dataValidation type="list" allowBlank="1" showInputMessage="1" showErrorMessage="1" sqref="E45">
      <formula1>$Q$12:$Q$15</formula1>
    </dataValidation>
    <dataValidation type="list" allowBlank="1" showInputMessage="1" showErrorMessage="1" sqref="F18:F32">
      <formula1>$N$12:$N$16</formula1>
    </dataValidation>
    <dataValidation type="list" allowBlank="1" showInputMessage="1" showErrorMessage="1" sqref="F45:F46">
      <formula1>$P$12:$P$15</formula1>
    </dataValidation>
    <dataValidation type="list" allowBlank="1" showInputMessage="1" showErrorMessage="1" sqref="J10">
      <formula1>$M$12:$M$13</formula1>
    </dataValidation>
    <dataValidation type="list" allowBlank="1" showInputMessage="1" showErrorMessage="1" sqref="J9:J10">
      <formula1>$M$12:$M$13</formula1>
    </dataValidation>
  </dataValidations>
  <pageMargins left="0.1968503937007874" right="0.1968503937007874" top="0" bottom="0.15748031496062992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6"/>
  <sheetViews>
    <sheetView workbookViewId="0" zoomScale="100" zoomScaleNormal="100">
      <selection activeCell="L6" sqref="L6"/>
    </sheetView>
  </sheetViews>
  <sheetFormatPr defaultRowHeight="15" outlineLevelRow="0" outlineLevelCol="0" x14ac:dyDescent="0.25"/>
  <cols>
    <col min="1" max="1" width="2.7109375" customWidth="1"/>
    <col min="2" max="2" width="8.7109375" customWidth="1"/>
    <col min="3" max="3" width="13.42578125" customWidth="1"/>
    <col min="4" max="4" width="9.140625" customWidth="1"/>
    <col min="5" max="5" width="16.5703125" customWidth="1"/>
    <col min="6" max="6" width="7" customWidth="1"/>
    <col min="7" max="7" width="13" customWidth="1"/>
    <col min="8" max="8" width="9.42578125" customWidth="1"/>
    <col min="9" max="9" width="9.5703125" customWidth="1"/>
    <col min="10" max="10" width="11.140625" customWidth="1"/>
    <col min="12" max="12" width="9.140625" customWidth="1"/>
    <col min="13" max="13" width="6.140625" customWidth="1"/>
    <col min="14" max="14" width="12" customWidth="1"/>
    <col min="15" max="15" width="59.28515625" customWidth="1"/>
    <col min="16" max="16" width="28.140625" customWidth="1"/>
    <col min="17" max="17" width="4.5703125" customWidth="1"/>
    <col min="18" max="29" width="9.140625" customWidth="1"/>
  </cols>
  <sheetData>
    <row r="1" ht="15" customHeight="1" spans="1:10" x14ac:dyDescent="0.25">
      <c r="A1" s="1"/>
      <c r="B1" s="2"/>
      <c r="C1" s="3"/>
      <c r="D1" s="3"/>
      <c r="E1" s="112" t="s">
        <v>392</v>
      </c>
      <c r="F1" s="112"/>
      <c r="G1" s="112"/>
      <c r="H1" s="112"/>
      <c r="I1" s="112"/>
      <c r="J1" s="112"/>
    </row>
    <row r="2" ht="15.75" customHeight="1" spans="1:10" x14ac:dyDescent="0.25">
      <c r="A2" s="5"/>
      <c r="B2" s="6"/>
      <c r="C2" s="3"/>
      <c r="D2" s="3"/>
      <c r="E2" s="112"/>
      <c r="F2" s="112"/>
      <c r="G2" s="112"/>
      <c r="H2" s="112"/>
      <c r="I2" s="112"/>
      <c r="J2" s="112"/>
    </row>
    <row r="3" ht="34.5" customHeight="1" spans="1:11" x14ac:dyDescent="0.25">
      <c r="A3" s="7" t="s">
        <v>393</v>
      </c>
      <c r="B3" s="8"/>
      <c r="C3" s="9"/>
      <c r="D3" s="10"/>
      <c r="E3" s="112"/>
      <c r="F3" s="112"/>
      <c r="G3" s="112"/>
      <c r="H3" s="112"/>
      <c r="I3" s="112"/>
      <c r="J3" s="112"/>
      <c r="K3" s="22"/>
    </row>
    <row r="4" ht="15.75" customHeight="1" spans="1:10" x14ac:dyDescent="0.25">
      <c r="A4" s="11" t="s">
        <v>1</v>
      </c>
      <c r="B4" s="12"/>
      <c r="C4" s="118">
        <f>VENDAS_PCP!C4</f>
        <v>0</v>
      </c>
      <c r="D4" s="14" t="s">
        <v>3</v>
      </c>
      <c r="E4" s="119">
        <f>VENDAS_PCP!E4</f>
        <v>0</v>
      </c>
      <c r="F4" s="14" t="s">
        <v>4</v>
      </c>
      <c r="G4" s="118">
        <f>VENDAS_PCP!G4</f>
        <v>0</v>
      </c>
      <c r="H4" s="15" t="s">
        <v>6</v>
      </c>
      <c r="I4" s="15"/>
      <c r="J4" s="120">
        <f>VENDAS_PCP!J4</f>
        <v>0</v>
      </c>
    </row>
    <row r="5" ht="6" customHeight="1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</row>
    <row r="6" ht="15.75" customHeight="1" spans="1:12" x14ac:dyDescent="0.25">
      <c r="A6" s="11" t="s">
        <v>7</v>
      </c>
      <c r="B6" s="12"/>
      <c r="C6" s="12">
        <f>VENDAS_PCP!C6</f>
        <v>0</v>
      </c>
      <c r="D6" s="12"/>
      <c r="E6" s="12"/>
      <c r="F6" s="15" t="s">
        <v>9</v>
      </c>
      <c r="G6" s="15"/>
      <c r="H6" s="20">
        <f>VENDAS_PCP!H6</f>
        <v>30</v>
      </c>
      <c r="I6" s="20"/>
      <c r="J6" s="21"/>
      <c r="L6" s="22"/>
    </row>
    <row r="7" ht="15.75" customHeight="1" spans="1:10" x14ac:dyDescent="0.25">
      <c r="A7" s="11" t="s">
        <v>12</v>
      </c>
      <c r="B7" s="12"/>
      <c r="C7" s="65">
        <f>VENDAS_PCP!C7</f>
        <v>0</v>
      </c>
      <c r="D7" s="65"/>
      <c r="E7" s="65"/>
      <c r="F7" s="65"/>
      <c r="G7" s="65"/>
      <c r="H7" s="65"/>
      <c r="I7" s="65"/>
      <c r="J7" s="66"/>
    </row>
    <row r="8" ht="15.75" customHeight="1" spans="1:35" x14ac:dyDescent="0.25">
      <c r="A8" s="25" t="s">
        <v>14</v>
      </c>
      <c r="B8" s="26"/>
      <c r="C8" s="36" t="str">
        <f>VENDAS_PCP!C8</f>
        <v>Rodrigo</v>
      </c>
      <c r="D8" s="36"/>
      <c r="E8" s="36"/>
      <c r="F8" s="36"/>
      <c r="G8" s="28" t="s">
        <v>16</v>
      </c>
      <c r="H8" s="29">
        <f>VENDAS_PCP!H8</f>
        <v>0</v>
      </c>
      <c r="I8" s="29"/>
      <c r="J8" s="30"/>
      <c r="AH8" s="121"/>
      <c r="AI8" s="121"/>
    </row>
    <row r="9" ht="15.75" customHeight="1" spans="1:35" x14ac:dyDescent="0.25">
      <c r="A9" s="25" t="s">
        <v>17</v>
      </c>
      <c r="B9" s="26"/>
      <c r="C9" s="37">
        <f>VENDAS_PCP!C9</f>
        <v>0</v>
      </c>
      <c r="D9" s="37"/>
      <c r="E9" s="37"/>
      <c r="F9" s="37"/>
      <c r="G9" s="37"/>
      <c r="H9" s="33" t="s">
        <v>19</v>
      </c>
      <c r="I9" s="33"/>
      <c r="J9" s="39" t="str">
        <f>VENDAS_PCP!J9</f>
        <v>FOB</v>
      </c>
      <c r="AH9" s="121"/>
      <c r="AI9" s="121"/>
    </row>
    <row r="10" ht="6" customHeight="1" spans="1:35" x14ac:dyDescent="0.25">
      <c r="A10" s="35"/>
      <c r="B10" s="36"/>
      <c r="C10" s="37"/>
      <c r="D10" s="37"/>
      <c r="E10" s="37"/>
      <c r="F10" s="37"/>
      <c r="G10" s="37"/>
      <c r="H10" s="38"/>
      <c r="I10" s="38"/>
      <c r="J10" s="39"/>
      <c r="M10" s="3"/>
      <c r="AH10" s="121"/>
      <c r="AI10" s="121"/>
    </row>
    <row r="11" ht="5.25" customHeight="1" spans="1:35" x14ac:dyDescent="0.25">
      <c r="A11" s="53"/>
      <c r="B11" s="54"/>
      <c r="C11" s="37"/>
      <c r="D11" s="37"/>
      <c r="E11" s="37"/>
      <c r="F11" s="56"/>
      <c r="G11" s="33"/>
      <c r="H11" s="33"/>
      <c r="I11" s="33"/>
      <c r="J11" s="41"/>
      <c r="M11" s="42" t="s">
        <v>22</v>
      </c>
      <c r="N11" s="43" t="s">
        <v>23</v>
      </c>
      <c r="O11" s="43" t="s">
        <v>24</v>
      </c>
      <c r="P11" s="43" t="s">
        <v>25</v>
      </c>
      <c r="Q11" s="42" t="s">
        <v>26</v>
      </c>
      <c r="AH11" s="121"/>
      <c r="AI11" s="121"/>
    </row>
    <row r="12" ht="15.75" customHeight="1" spans="1:35" x14ac:dyDescent="0.25">
      <c r="A12" s="57"/>
      <c r="B12" s="43" t="s">
        <v>51</v>
      </c>
      <c r="C12" s="25" t="s">
        <v>52</v>
      </c>
      <c r="D12" s="26"/>
      <c r="E12" s="58"/>
      <c r="F12" s="122" t="s">
        <v>394</v>
      </c>
      <c r="G12" s="123"/>
      <c r="H12" s="59" t="s">
        <v>53</v>
      </c>
      <c r="I12" s="60" t="s">
        <v>54</v>
      </c>
      <c r="J12" s="61" t="s">
        <v>55</v>
      </c>
      <c r="M12" s="44" t="s">
        <v>29</v>
      </c>
      <c r="N12" s="45" t="s">
        <v>30</v>
      </c>
      <c r="O12" s="45" t="s">
        <v>31</v>
      </c>
      <c r="P12" s="45" t="s">
        <v>32</v>
      </c>
      <c r="Q12" s="46">
        <v>0.2</v>
      </c>
      <c r="AH12" s="121"/>
      <c r="AI12" s="121"/>
    </row>
    <row r="13" ht="15.75" customHeight="1" spans="1:17" x14ac:dyDescent="0.25">
      <c r="A13" s="44">
        <v>1</v>
      </c>
      <c r="B13" s="124">
        <f>VENDAS_PCP!B18</f>
        <v>0</v>
      </c>
      <c r="C13" s="125">
        <f>IFERROR(VLOOKUP(B13:B56,N18:O175,2,0),"")</f>
      </c>
      <c r="D13" s="126"/>
      <c r="E13" s="127"/>
      <c r="F13" s="53">
        <f>IFERROR(VLOOKUP(B13,N18:P184,3,0),"")</f>
      </c>
      <c r="G13" s="128"/>
      <c r="H13" s="45">
        <f>VENDAS_PCP!F18</f>
        <v>0</v>
      </c>
      <c r="I13" s="129">
        <f>VENDAS_PCP!G18</f>
        <v>0</v>
      </c>
      <c r="J13" s="70">
        <f>VENDAS_PCP!H18</f>
        <v>0</v>
      </c>
      <c r="M13" s="44" t="s">
        <v>20</v>
      </c>
      <c r="N13" s="45" t="s">
        <v>37</v>
      </c>
      <c r="O13" s="45" t="s">
        <v>38</v>
      </c>
      <c r="P13" s="45" t="s">
        <v>39</v>
      </c>
      <c r="Q13" s="46">
        <v>0.3</v>
      </c>
    </row>
    <row r="14" ht="15.75" customHeight="1" spans="1:17" x14ac:dyDescent="0.25">
      <c r="A14" s="53" t="s">
        <v>395</v>
      </c>
      <c r="B14" s="128"/>
      <c r="C14" s="130"/>
      <c r="D14" s="131" t="s">
        <v>396</v>
      </c>
      <c r="E14" s="132"/>
      <c r="F14" s="57" t="s">
        <v>397</v>
      </c>
      <c r="G14" s="39"/>
      <c r="H14" s="45">
        <f>H13</f>
        <v>0</v>
      </c>
      <c r="I14" s="133"/>
      <c r="J14" s="134"/>
      <c r="N14" s="50" t="s">
        <v>43</v>
      </c>
      <c r="O14" s="50" t="s">
        <v>44</v>
      </c>
      <c r="P14" s="50" t="s">
        <v>398</v>
      </c>
      <c r="Q14" s="46">
        <v>0.5</v>
      </c>
    </row>
    <row r="15" ht="4.5" customHeight="1" spans="1:16" x14ac:dyDescent="0.25">
      <c r="A15" s="53"/>
      <c r="B15" s="128"/>
      <c r="C15" s="135"/>
      <c r="D15" s="136"/>
      <c r="E15" s="137"/>
      <c r="F15" s="57"/>
      <c r="G15" s="39"/>
      <c r="H15" s="45"/>
      <c r="I15" s="133"/>
      <c r="J15" s="134"/>
      <c r="N15" s="50" t="s">
        <v>49</v>
      </c>
      <c r="O15" s="50" t="s">
        <v>50</v>
      </c>
      <c r="P15" s="50"/>
    </row>
    <row r="16" ht="15.75" customHeight="1" spans="1:10" x14ac:dyDescent="0.25">
      <c r="A16" s="138">
        <v>2</v>
      </c>
      <c r="B16" s="139">
        <f>VENDAS_PCP!B19</f>
        <v>0</v>
      </c>
      <c r="C16" s="140">
        <f>IFERROR(VLOOKUP(B13:B56,N19:O175,2,0),"")</f>
      </c>
      <c r="D16" s="141"/>
      <c r="E16" s="142"/>
      <c r="F16" s="143">
        <f>IFERROR(VLOOKUP(B16,N19:P188,3,0),"")</f>
      </c>
      <c r="G16" s="144"/>
      <c r="H16" s="145">
        <f>VENDAS_PCP!F19</f>
        <v>0</v>
      </c>
      <c r="I16" s="146">
        <f>VENDAS_PCP!G19</f>
        <v>0</v>
      </c>
      <c r="J16" s="147">
        <f>VENDAS_PCP!H19</f>
        <v>0</v>
      </c>
    </row>
    <row r="17" ht="15.75" customHeight="1" spans="1:10" x14ac:dyDescent="0.25">
      <c r="A17" s="143" t="s">
        <v>395</v>
      </c>
      <c r="B17" s="148"/>
      <c r="C17" s="149"/>
      <c r="D17" s="150" t="s">
        <v>396</v>
      </c>
      <c r="E17" s="151"/>
      <c r="F17" s="152" t="s">
        <v>397</v>
      </c>
      <c r="G17" s="153"/>
      <c r="H17" s="153">
        <f>H16</f>
        <v>0</v>
      </c>
      <c r="I17" s="154"/>
      <c r="J17" s="155"/>
    </row>
    <row r="18" ht="4.5" customHeight="1" spans="1:16" x14ac:dyDescent="0.25">
      <c r="A18" s="53"/>
      <c r="B18" s="128"/>
      <c r="C18" s="135"/>
      <c r="D18" s="136"/>
      <c r="E18" s="137"/>
      <c r="F18" s="57"/>
      <c r="G18" s="156"/>
      <c r="H18" s="45"/>
      <c r="I18" s="133"/>
      <c r="J18" s="134"/>
      <c r="N18" s="71" t="s">
        <v>61</v>
      </c>
      <c r="O18" s="17" t="s">
        <v>62</v>
      </c>
      <c r="P18" s="17" t="s">
        <v>394</v>
      </c>
    </row>
    <row r="19" ht="15.95" customHeight="1" spans="1:16" x14ac:dyDescent="0.25">
      <c r="A19" s="44">
        <v>3</v>
      </c>
      <c r="B19" s="124" t="str">
        <f>VENDAS_PCP!B20</f>
        <v>;</v>
      </c>
      <c r="C19" s="125">
        <f>IFERROR(VLOOKUP(B13:B56,N18:O176,2,0),"")</f>
      </c>
      <c r="D19" s="126"/>
      <c r="E19" s="127"/>
      <c r="F19" s="53">
        <f>IFERROR(VLOOKUP(B19,N18:P188,3,0),"")</f>
      </c>
      <c r="G19" s="128"/>
      <c r="H19" s="45">
        <f>VENDAS_PCP!F20</f>
        <v>0</v>
      </c>
      <c r="I19" s="129">
        <f>VENDAS_PCP!G20</f>
        <v>0</v>
      </c>
      <c r="J19" s="70">
        <f>VENDAS_PCP!H20</f>
        <v>0</v>
      </c>
      <c r="N19" s="72" t="s">
        <v>66</v>
      </c>
      <c r="O19" s="73" t="s">
        <v>67</v>
      </c>
      <c r="P19" s="17" t="s">
        <v>399</v>
      </c>
    </row>
    <row r="20" ht="15.95" customHeight="1" spans="1:16" x14ac:dyDescent="0.25">
      <c r="A20" s="53" t="s">
        <v>395</v>
      </c>
      <c r="B20" s="128"/>
      <c r="C20" s="157"/>
      <c r="D20" s="131" t="s">
        <v>396</v>
      </c>
      <c r="E20" s="158"/>
      <c r="F20" s="57" t="s">
        <v>397</v>
      </c>
      <c r="G20" s="39"/>
      <c r="H20" s="45">
        <f>H19</f>
        <v>0</v>
      </c>
      <c r="I20" s="133"/>
      <c r="J20" s="134"/>
      <c r="N20" s="72" t="s">
        <v>58</v>
      </c>
      <c r="O20" s="73" t="s">
        <v>69</v>
      </c>
      <c r="P20" s="17" t="s">
        <v>399</v>
      </c>
    </row>
    <row r="21" ht="4.5" customHeight="1" spans="1:16" x14ac:dyDescent="0.25">
      <c r="A21" s="53"/>
      <c r="B21" s="128"/>
      <c r="C21" s="135"/>
      <c r="D21" s="136"/>
      <c r="E21" s="137"/>
      <c r="F21" s="57"/>
      <c r="G21" s="39"/>
      <c r="H21" s="45"/>
      <c r="I21" s="133"/>
      <c r="J21" s="134"/>
      <c r="N21" s="72" t="s">
        <v>71</v>
      </c>
      <c r="O21" s="73" t="s">
        <v>72</v>
      </c>
      <c r="P21" s="17" t="s">
        <v>399</v>
      </c>
    </row>
    <row r="22" ht="15.95" customHeight="1" spans="1:16" x14ac:dyDescent="0.25">
      <c r="A22" s="138">
        <v>4</v>
      </c>
      <c r="B22" s="139">
        <f>VENDAS_PCP!B21</f>
        <v>0</v>
      </c>
      <c r="C22" s="159">
        <f>IFERROR(VLOOKUP(B13:B56,N19:O175,2,0),"")</f>
      </c>
      <c r="D22" s="160"/>
      <c r="E22" s="161"/>
      <c r="F22" s="162">
        <f>IFERROR(VLOOKUP(B22,N18:P186,3,0),"")</f>
      </c>
      <c r="G22" s="163"/>
      <c r="H22" s="145">
        <f>VENDAS_PCP!F21</f>
        <v>0</v>
      </c>
      <c r="I22" s="146">
        <f>VENDAS_PCP!G21</f>
        <v>0</v>
      </c>
      <c r="J22" s="147">
        <f>VENDAS_PCP!H21</f>
        <v>0</v>
      </c>
      <c r="N22" s="72" t="s">
        <v>74</v>
      </c>
      <c r="O22" s="73" t="s">
        <v>75</v>
      </c>
      <c r="P22" s="17" t="s">
        <v>399</v>
      </c>
    </row>
    <row r="23" ht="15.95" customHeight="1" spans="1:16" x14ac:dyDescent="0.25">
      <c r="A23" s="143" t="s">
        <v>395</v>
      </c>
      <c r="B23" s="148"/>
      <c r="C23" s="150"/>
      <c r="D23" s="164" t="s">
        <v>396</v>
      </c>
      <c r="E23" s="165"/>
      <c r="F23" s="166" t="s">
        <v>397</v>
      </c>
      <c r="G23" s="153"/>
      <c r="H23" s="145">
        <f>H22</f>
        <v>0</v>
      </c>
      <c r="I23" s="154"/>
      <c r="J23" s="155"/>
      <c r="N23" s="72" t="s">
        <v>77</v>
      </c>
      <c r="O23" s="73" t="s">
        <v>78</v>
      </c>
      <c r="P23" s="17" t="s">
        <v>399</v>
      </c>
    </row>
    <row r="24" ht="4.5" customHeight="1" spans="1:16" x14ac:dyDescent="0.25">
      <c r="A24" s="53"/>
      <c r="B24" s="128"/>
      <c r="C24" s="135"/>
      <c r="D24" s="136"/>
      <c r="E24" s="137"/>
      <c r="F24" s="57"/>
      <c r="G24" s="39"/>
      <c r="H24" s="45"/>
      <c r="I24" s="133"/>
      <c r="J24" s="134"/>
      <c r="N24" s="72" t="s">
        <v>80</v>
      </c>
      <c r="O24" s="73" t="s">
        <v>81</v>
      </c>
      <c r="P24" s="17" t="s">
        <v>400</v>
      </c>
    </row>
    <row r="25" ht="15.95" customHeight="1" spans="1:16" x14ac:dyDescent="0.25">
      <c r="A25" s="44">
        <v>5</v>
      </c>
      <c r="B25" s="124">
        <f>VENDAS_PCP!B22</f>
        <v>0</v>
      </c>
      <c r="C25" s="125">
        <f>C1</f>
        <v>0</v>
      </c>
      <c r="D25" s="126"/>
      <c r="E25" s="127"/>
      <c r="F25" s="80">
        <f>IFERROR(VLOOKUP(B25,N18:P188,3,0),"")</f>
      </c>
      <c r="G25" s="81"/>
      <c r="H25" s="45">
        <f>VENDAS_PCP!F22</f>
        <v>0</v>
      </c>
      <c r="I25" s="129">
        <f>VENDAS_PCP!G22</f>
        <v>0</v>
      </c>
      <c r="J25" s="70">
        <f>VENDAS_PCP!H22</f>
        <v>0</v>
      </c>
      <c r="N25" s="72" t="s">
        <v>83</v>
      </c>
      <c r="O25" s="73" t="s">
        <v>84</v>
      </c>
      <c r="P25" s="17" t="s">
        <v>400</v>
      </c>
    </row>
    <row r="26" ht="15.95" customHeight="1" spans="1:16" x14ac:dyDescent="0.25">
      <c r="A26" s="53" t="s">
        <v>395</v>
      </c>
      <c r="B26" s="128"/>
      <c r="C26" s="135"/>
      <c r="D26" s="131" t="s">
        <v>396</v>
      </c>
      <c r="E26" s="137"/>
      <c r="F26" s="57" t="s">
        <v>397</v>
      </c>
      <c r="G26" s="39"/>
      <c r="H26" s="45">
        <f>H25</f>
        <v>0</v>
      </c>
      <c r="I26" s="133"/>
      <c r="J26" s="134"/>
      <c r="N26" s="72" t="s">
        <v>86</v>
      </c>
      <c r="O26" s="73" t="s">
        <v>87</v>
      </c>
      <c r="P26" s="17" t="s">
        <v>400</v>
      </c>
    </row>
    <row r="27" ht="4.5" customHeight="1" spans="1:16" x14ac:dyDescent="0.25">
      <c r="A27" s="53"/>
      <c r="B27" s="128"/>
      <c r="C27" s="135"/>
      <c r="D27" s="136"/>
      <c r="E27" s="137"/>
      <c r="F27" s="57"/>
      <c r="G27" s="39"/>
      <c r="H27" s="45"/>
      <c r="I27" s="133"/>
      <c r="J27" s="134"/>
      <c r="N27" s="72" t="s">
        <v>88</v>
      </c>
      <c r="O27" s="73" t="s">
        <v>89</v>
      </c>
      <c r="P27" s="17" t="s">
        <v>400</v>
      </c>
    </row>
    <row r="28" ht="15.75" customHeight="1" spans="1:16" x14ac:dyDescent="0.25">
      <c r="A28" s="138">
        <v>6</v>
      </c>
      <c r="B28" s="167">
        <f>VENDAS_PCP!B23</f>
        <v>0</v>
      </c>
      <c r="C28" s="159">
        <f>IFERROR(VLOOKUP(B13:B56,N19:O175,2,0),"")</f>
      </c>
      <c r="D28" s="160"/>
      <c r="E28" s="161"/>
      <c r="F28" s="162">
        <f>IFERROR(VLOOKUP(B28,N18:P186,3,0),"")</f>
      </c>
      <c r="G28" s="163"/>
      <c r="H28" s="145">
        <f>VENDAS_PCP!F23</f>
        <v>0</v>
      </c>
      <c r="I28" s="146">
        <f>VENDAS_PCP!G23</f>
        <v>0</v>
      </c>
      <c r="J28" s="147">
        <f>VENDAS_PCP!H23</f>
        <v>0</v>
      </c>
      <c r="N28" s="72" t="s">
        <v>90</v>
      </c>
      <c r="O28" s="73" t="s">
        <v>91</v>
      </c>
      <c r="P28" s="17" t="s">
        <v>400</v>
      </c>
    </row>
    <row r="29" ht="15.75" customHeight="1" spans="1:16" x14ac:dyDescent="0.25">
      <c r="A29" s="143" t="s">
        <v>395</v>
      </c>
      <c r="B29" s="148"/>
      <c r="C29" s="150"/>
      <c r="D29" s="164" t="s">
        <v>396</v>
      </c>
      <c r="E29" s="165"/>
      <c r="F29" s="166" t="s">
        <v>397</v>
      </c>
      <c r="G29" s="153"/>
      <c r="H29" s="145">
        <f>H28</f>
        <v>0</v>
      </c>
      <c r="I29" s="154"/>
      <c r="J29" s="155"/>
      <c r="N29" s="72" t="s">
        <v>92</v>
      </c>
      <c r="O29" s="73" t="s">
        <v>93</v>
      </c>
      <c r="P29" s="17" t="s">
        <v>401</v>
      </c>
    </row>
    <row r="30" ht="4.5" customHeight="1" spans="1:16" x14ac:dyDescent="0.25">
      <c r="A30" s="53"/>
      <c r="B30" s="128"/>
      <c r="C30" s="135"/>
      <c r="D30" s="136"/>
      <c r="E30" s="137"/>
      <c r="F30" s="57"/>
      <c r="G30" s="39"/>
      <c r="H30" s="45"/>
      <c r="I30" s="133"/>
      <c r="J30" s="134"/>
      <c r="N30" s="72" t="s">
        <v>94</v>
      </c>
      <c r="O30" s="73" t="s">
        <v>95</v>
      </c>
      <c r="P30" s="17" t="s">
        <v>401</v>
      </c>
    </row>
    <row r="31" ht="15.75" customHeight="1" spans="1:16" x14ac:dyDescent="0.25">
      <c r="A31" s="44">
        <v>7</v>
      </c>
      <c r="B31" s="124">
        <f>VENDAS_PCP!B24</f>
        <v>0</v>
      </c>
      <c r="C31" s="125">
        <f>IFERROR(VLOOKUP(B13:B56,N19:O180,2,0),"")</f>
      </c>
      <c r="D31" s="126"/>
      <c r="E31" s="127"/>
      <c r="F31" s="80">
        <f>IFERROR(VLOOKUP(B31,N18:P192,3,0),"")</f>
      </c>
      <c r="G31" s="81"/>
      <c r="H31" s="45">
        <f>VENDAS_PCP!F24</f>
        <v>0</v>
      </c>
      <c r="I31" s="129">
        <f>VENDAS_PCP!G24</f>
        <v>0</v>
      </c>
      <c r="J31" s="70">
        <f>VENDAS_PCP!H24</f>
        <v>0</v>
      </c>
      <c r="N31" s="72" t="s">
        <v>96</v>
      </c>
      <c r="O31" s="73" t="s">
        <v>97</v>
      </c>
      <c r="P31" s="17" t="s">
        <v>401</v>
      </c>
    </row>
    <row r="32" ht="15.75" customHeight="1" spans="1:16" x14ac:dyDescent="0.25">
      <c r="A32" s="53" t="s">
        <v>395</v>
      </c>
      <c r="B32" s="128"/>
      <c r="C32" s="135"/>
      <c r="D32" s="131" t="s">
        <v>396</v>
      </c>
      <c r="E32" s="137"/>
      <c r="F32" s="57" t="s">
        <v>397</v>
      </c>
      <c r="G32" s="39"/>
      <c r="H32" s="45">
        <f>H31</f>
        <v>0</v>
      </c>
      <c r="I32" s="133"/>
      <c r="J32" s="134"/>
      <c r="N32" s="72" t="s">
        <v>98</v>
      </c>
      <c r="O32" s="73" t="s">
        <v>99</v>
      </c>
      <c r="P32" s="17" t="s">
        <v>401</v>
      </c>
    </row>
    <row r="33" ht="4.5" customHeight="1" spans="1:16" x14ac:dyDescent="0.25">
      <c r="A33" s="53"/>
      <c r="B33" s="128"/>
      <c r="C33" s="135"/>
      <c r="D33" s="136"/>
      <c r="E33" s="137"/>
      <c r="F33" s="57"/>
      <c r="G33" s="39"/>
      <c r="H33" s="45"/>
      <c r="I33" s="133"/>
      <c r="J33" s="134"/>
      <c r="N33" s="72" t="s">
        <v>63</v>
      </c>
      <c r="O33" s="73" t="s">
        <v>103</v>
      </c>
      <c r="P33" s="17" t="s">
        <v>401</v>
      </c>
    </row>
    <row r="34" ht="15.75" customHeight="1" spans="1:16" x14ac:dyDescent="0.25">
      <c r="A34" s="138">
        <v>8</v>
      </c>
      <c r="B34" s="139">
        <f>VENDAS_PCP!B25</f>
        <v>0</v>
      </c>
      <c r="C34" s="159">
        <f>IFERROR(VLOOKUP(B13:B56,N19:O181,2,0),"")</f>
      </c>
      <c r="D34" s="160"/>
      <c r="E34" s="161"/>
      <c r="F34" s="143">
        <f>IFERROR(VLOOKUP(B34,N18:P192,3,0),"")</f>
      </c>
      <c r="G34" s="148"/>
      <c r="H34" s="145">
        <f>VENDAS_PCP!F25</f>
        <v>0</v>
      </c>
      <c r="I34" s="146">
        <f>VENDAS_PCP!G25</f>
        <v>0</v>
      </c>
      <c r="J34" s="147">
        <f>VENDAS_PCP!H25</f>
        <v>0</v>
      </c>
      <c r="N34" s="72" t="s">
        <v>100</v>
      </c>
      <c r="O34" s="73" t="s">
        <v>101</v>
      </c>
      <c r="P34" s="17" t="s">
        <v>401</v>
      </c>
    </row>
    <row r="35" ht="15.75" customHeight="1" spans="1:16" x14ac:dyDescent="0.25">
      <c r="A35" s="143" t="s">
        <v>395</v>
      </c>
      <c r="B35" s="148"/>
      <c r="C35" s="150"/>
      <c r="D35" s="164" t="s">
        <v>396</v>
      </c>
      <c r="E35" s="165"/>
      <c r="F35" s="166" t="s">
        <v>397</v>
      </c>
      <c r="G35" s="153"/>
      <c r="H35" s="145">
        <f>H34</f>
        <v>0</v>
      </c>
      <c r="I35" s="154"/>
      <c r="J35" s="155"/>
      <c r="N35" s="72" t="s">
        <v>104</v>
      </c>
      <c r="O35" s="73" t="s">
        <v>105</v>
      </c>
      <c r="P35" s="17" t="s">
        <v>401</v>
      </c>
    </row>
    <row r="36" ht="4.5" customHeight="1" spans="1:16" x14ac:dyDescent="0.25">
      <c r="A36" s="53"/>
      <c r="B36" s="128"/>
      <c r="C36" s="135"/>
      <c r="D36" s="136"/>
      <c r="E36" s="137"/>
      <c r="F36" s="57"/>
      <c r="G36" s="39"/>
      <c r="H36" s="45"/>
      <c r="I36" s="133"/>
      <c r="J36" s="134"/>
      <c r="N36" s="72" t="s">
        <v>107</v>
      </c>
      <c r="O36" s="73" t="s">
        <v>108</v>
      </c>
      <c r="P36" s="17" t="s">
        <v>401</v>
      </c>
    </row>
    <row r="37" ht="15.75" customHeight="1" spans="1:16" x14ac:dyDescent="0.25">
      <c r="A37" s="44">
        <v>9</v>
      </c>
      <c r="B37" s="124">
        <f>VENDAS_PCP!B26</f>
        <v>0</v>
      </c>
      <c r="C37" s="125">
        <f>IFERROR(VLOOKUP(B13:B56,N19:O182,2,0),"")</f>
      </c>
      <c r="D37" s="126"/>
      <c r="E37" s="127"/>
      <c r="F37" s="53">
        <f>IFERROR(VLOOKUP(B37,N18:P188,3,0),"")</f>
      </c>
      <c r="G37" s="128"/>
      <c r="H37" s="45">
        <f>VENDAS_PCP!F26</f>
        <v>0</v>
      </c>
      <c r="I37" s="129">
        <f>VENDAS_PCP!G26</f>
        <v>0</v>
      </c>
      <c r="J37" s="70">
        <f>VENDAS_PCP!H26</f>
        <v>0</v>
      </c>
      <c r="N37" s="72" t="s">
        <v>109</v>
      </c>
      <c r="O37" s="73" t="s">
        <v>110</v>
      </c>
      <c r="P37" s="17" t="s">
        <v>401</v>
      </c>
    </row>
    <row r="38" ht="15.75" customHeight="1" spans="1:16" x14ac:dyDescent="0.25">
      <c r="A38" s="53" t="s">
        <v>395</v>
      </c>
      <c r="B38" s="128"/>
      <c r="C38" s="135"/>
      <c r="D38" s="131" t="s">
        <v>396</v>
      </c>
      <c r="E38" s="137"/>
      <c r="F38" s="57" t="s">
        <v>397</v>
      </c>
      <c r="G38" s="39"/>
      <c r="H38" s="45">
        <f>H37</f>
        <v>0</v>
      </c>
      <c r="I38" s="133"/>
      <c r="J38" s="134"/>
      <c r="N38" s="72" t="s">
        <v>111</v>
      </c>
      <c r="O38" s="73" t="s">
        <v>112</v>
      </c>
      <c r="P38" s="17" t="s">
        <v>401</v>
      </c>
    </row>
    <row r="39" ht="4.5" customHeight="1" spans="1:16" x14ac:dyDescent="0.25">
      <c r="A39" s="53"/>
      <c r="B39" s="128"/>
      <c r="C39" s="135"/>
      <c r="D39" s="136"/>
      <c r="E39" s="137"/>
      <c r="F39" s="57"/>
      <c r="G39" s="39"/>
      <c r="H39" s="45"/>
      <c r="I39" s="133"/>
      <c r="J39" s="134"/>
      <c r="N39" s="72" t="s">
        <v>113</v>
      </c>
      <c r="O39" s="73" t="s">
        <v>114</v>
      </c>
      <c r="P39" s="17" t="s">
        <v>401</v>
      </c>
    </row>
    <row r="40" ht="15.75" customHeight="1" spans="1:16" x14ac:dyDescent="0.25">
      <c r="A40" s="138">
        <v>10</v>
      </c>
      <c r="B40" s="139">
        <f>VENDAS_PCP!B27</f>
        <v>0</v>
      </c>
      <c r="C40" s="168">
        <f>IFERROR(VLOOKUP(B13:B56,N18:O183,2,0),"")</f>
      </c>
      <c r="D40" s="169"/>
      <c r="E40" s="170"/>
      <c r="F40" s="143">
        <f>IFERROR(VLOOKUP(B40,N18:P196,3,0),"")</f>
      </c>
      <c r="G40" s="148"/>
      <c r="H40" s="145">
        <f>VENDAS_PCP!F27</f>
        <v>0</v>
      </c>
      <c r="I40" s="146">
        <f>VENDAS_PCP!G27</f>
        <v>0</v>
      </c>
      <c r="J40" s="147">
        <f>VENDAS_PCP!H27</f>
        <v>0</v>
      </c>
      <c r="N40" s="72" t="s">
        <v>115</v>
      </c>
      <c r="O40" s="73" t="s">
        <v>116</v>
      </c>
      <c r="P40" s="17" t="s">
        <v>401</v>
      </c>
    </row>
    <row r="41" ht="15.75" customHeight="1" spans="1:16" x14ac:dyDescent="0.25">
      <c r="A41" s="143" t="s">
        <v>395</v>
      </c>
      <c r="B41" s="148"/>
      <c r="C41" s="150"/>
      <c r="D41" s="164" t="s">
        <v>396</v>
      </c>
      <c r="E41" s="165"/>
      <c r="F41" s="166" t="s">
        <v>397</v>
      </c>
      <c r="G41" s="153"/>
      <c r="H41" s="145">
        <f>H40</f>
        <v>0</v>
      </c>
      <c r="I41" s="154"/>
      <c r="J41" s="155"/>
      <c r="N41" s="72" t="s">
        <v>117</v>
      </c>
      <c r="O41" s="73" t="s">
        <v>118</v>
      </c>
      <c r="P41" s="17" t="s">
        <v>401</v>
      </c>
    </row>
    <row r="42" ht="4.5" customHeight="1" spans="1:16" x14ac:dyDescent="0.25">
      <c r="A42" s="53"/>
      <c r="B42" s="128"/>
      <c r="C42" s="135"/>
      <c r="D42" s="136"/>
      <c r="E42" s="137"/>
      <c r="F42" s="57"/>
      <c r="G42" s="39"/>
      <c r="H42" s="45"/>
      <c r="I42" s="133"/>
      <c r="J42" s="134"/>
      <c r="N42" s="72" t="s">
        <v>119</v>
      </c>
      <c r="O42" s="73" t="s">
        <v>120</v>
      </c>
      <c r="P42" s="17" t="s">
        <v>401</v>
      </c>
    </row>
    <row r="43" ht="15.75" customHeight="1" spans="1:16" x14ac:dyDescent="0.25">
      <c r="A43" s="44">
        <v>11</v>
      </c>
      <c r="B43" s="124">
        <f>VENDAS_PCP!B28</f>
        <v>0</v>
      </c>
      <c r="C43" s="125">
        <f>IFERROR(VLOOKUP(B13:B56,N18:O184,2,0),"")</f>
      </c>
      <c r="D43" s="126"/>
      <c r="E43" s="127"/>
      <c r="F43" s="53">
        <f>IFERROR(VLOOKUP(B43,N18:P193,3,0),"")</f>
      </c>
      <c r="G43" s="128"/>
      <c r="H43" s="45">
        <f>VENDAS_PCP!F28</f>
        <v>0</v>
      </c>
      <c r="I43" s="129">
        <f>VENDAS_PCP!G28</f>
        <v>0</v>
      </c>
      <c r="J43" s="70">
        <f>VENDAS_PCP!H28</f>
        <v>0</v>
      </c>
      <c r="N43" s="72" t="s">
        <v>122</v>
      </c>
      <c r="O43" s="73" t="s">
        <v>123</v>
      </c>
      <c r="P43" s="17" t="s">
        <v>401</v>
      </c>
    </row>
    <row r="44" ht="15.75" customHeight="1" spans="1:16" x14ac:dyDescent="0.25">
      <c r="A44" s="53" t="s">
        <v>395</v>
      </c>
      <c r="B44" s="128"/>
      <c r="C44" s="135"/>
      <c r="D44" s="131" t="s">
        <v>396</v>
      </c>
      <c r="E44" s="137"/>
      <c r="F44" s="57" t="s">
        <v>397</v>
      </c>
      <c r="G44" s="39"/>
      <c r="H44" s="45">
        <f>H43</f>
        <v>0</v>
      </c>
      <c r="I44" s="133"/>
      <c r="J44" s="134"/>
      <c r="N44" s="72" t="s">
        <v>126</v>
      </c>
      <c r="O44" s="73" t="s">
        <v>127</v>
      </c>
      <c r="P44" s="17" t="s">
        <v>401</v>
      </c>
    </row>
    <row r="45" ht="4.5" customHeight="1" spans="1:16" x14ac:dyDescent="0.25">
      <c r="A45" s="53"/>
      <c r="B45" s="128"/>
      <c r="C45" s="135"/>
      <c r="D45" s="136"/>
      <c r="E45" s="137"/>
      <c r="F45" s="57"/>
      <c r="G45" s="39"/>
      <c r="H45" s="45"/>
      <c r="I45" s="133"/>
      <c r="J45" s="134"/>
      <c r="N45" s="72" t="s">
        <v>128</v>
      </c>
      <c r="O45" s="73" t="s">
        <v>129</v>
      </c>
      <c r="P45" s="17" t="s">
        <v>401</v>
      </c>
    </row>
    <row r="46" ht="15.75" customHeight="1" spans="1:16" x14ac:dyDescent="0.25">
      <c r="A46" s="138">
        <v>12</v>
      </c>
      <c r="B46" s="139">
        <f>VENDAS_PCP!B29</f>
        <v>0</v>
      </c>
      <c r="C46" s="159">
        <f>IFERROR(VLOOKUP(B13:B56,N19:O185,2,0),"")</f>
      </c>
      <c r="D46" s="160"/>
      <c r="E46" s="161"/>
      <c r="F46" s="143">
        <f>IFERROR(VLOOKUP(B46,N18:P197,3,0),"")</f>
      </c>
      <c r="G46" s="148"/>
      <c r="H46" s="145">
        <f>VENDAS_PCP!F29</f>
        <v>0</v>
      </c>
      <c r="I46" s="146">
        <f>VENDAS_PCP!G29</f>
        <v>0</v>
      </c>
      <c r="J46" s="147">
        <f>VENDAS_PCP!H29</f>
        <v>0</v>
      </c>
      <c r="N46" s="72" t="s">
        <v>130</v>
      </c>
      <c r="O46" s="73" t="s">
        <v>131</v>
      </c>
      <c r="P46" s="17" t="s">
        <v>401</v>
      </c>
    </row>
    <row r="47" ht="15.75" customHeight="1" spans="1:16" x14ac:dyDescent="0.25">
      <c r="A47" s="143" t="s">
        <v>395</v>
      </c>
      <c r="B47" s="148"/>
      <c r="C47" s="150"/>
      <c r="D47" s="164" t="s">
        <v>396</v>
      </c>
      <c r="E47" s="165"/>
      <c r="F47" s="166" t="s">
        <v>397</v>
      </c>
      <c r="G47" s="153"/>
      <c r="H47" s="145">
        <f>H46</f>
        <v>0</v>
      </c>
      <c r="I47" s="154"/>
      <c r="J47" s="155"/>
      <c r="N47" s="72" t="s">
        <v>132</v>
      </c>
      <c r="O47" s="73" t="s">
        <v>133</v>
      </c>
      <c r="P47" s="17" t="s">
        <v>402</v>
      </c>
    </row>
    <row r="48" ht="4.5" customHeight="1" spans="1:16" x14ac:dyDescent="0.25">
      <c r="A48" s="53"/>
      <c r="B48" s="128"/>
      <c r="C48" s="135"/>
      <c r="D48" s="136"/>
      <c r="E48" s="137"/>
      <c r="F48" s="57"/>
      <c r="G48" s="39"/>
      <c r="H48" s="45"/>
      <c r="I48" s="133"/>
      <c r="J48" s="134"/>
      <c r="N48" s="72" t="s">
        <v>138</v>
      </c>
      <c r="O48" s="73" t="s">
        <v>139</v>
      </c>
      <c r="P48" s="17" t="s">
        <v>402</v>
      </c>
    </row>
    <row r="49" ht="15.75" customHeight="1" spans="1:16" x14ac:dyDescent="0.25">
      <c r="A49" s="44">
        <v>13</v>
      </c>
      <c r="B49" s="124">
        <f>VENDAS_PCP!B30</f>
        <v>0</v>
      </c>
      <c r="C49" s="125">
        <f>IFERROR(VLOOKUP(B49:B56,N18:O186,2,0),"")</f>
      </c>
      <c r="D49" s="126"/>
      <c r="E49" s="127"/>
      <c r="F49" s="53">
        <f>IFERROR(VLOOKUP(B49,N18:P189,3,0),"")</f>
      </c>
      <c r="G49" s="128"/>
      <c r="H49" s="45">
        <f>VENDAS_PCP!F30</f>
        <v>0</v>
      </c>
      <c r="I49" s="129">
        <f>VENDAS_PCP!G30</f>
        <v>0</v>
      </c>
      <c r="J49" s="70">
        <f>VENDAS_PCP!H30</f>
        <v>0</v>
      </c>
      <c r="N49" s="72" t="s">
        <v>140</v>
      </c>
      <c r="O49" s="73" t="s">
        <v>141</v>
      </c>
      <c r="P49" s="17" t="s">
        <v>402</v>
      </c>
    </row>
    <row r="50" ht="15.75" customHeight="1" spans="1:16" x14ac:dyDescent="0.25">
      <c r="A50" s="53" t="s">
        <v>395</v>
      </c>
      <c r="B50" s="128"/>
      <c r="C50" s="135"/>
      <c r="D50" s="131" t="s">
        <v>396</v>
      </c>
      <c r="E50" s="137"/>
      <c r="F50" s="57" t="s">
        <v>397</v>
      </c>
      <c r="G50" s="39"/>
      <c r="H50" s="45">
        <f>H49</f>
        <v>0</v>
      </c>
      <c r="I50" s="133"/>
      <c r="J50" s="134"/>
      <c r="N50" s="72" t="s">
        <v>148</v>
      </c>
      <c r="O50" s="73" t="s">
        <v>147</v>
      </c>
      <c r="P50" s="17" t="s">
        <v>402</v>
      </c>
    </row>
    <row r="51" ht="4.5" customHeight="1" spans="1:16" x14ac:dyDescent="0.25">
      <c r="A51" s="53"/>
      <c r="B51" s="128"/>
      <c r="C51" s="135"/>
      <c r="D51" s="136"/>
      <c r="E51" s="137"/>
      <c r="F51" s="57"/>
      <c r="G51" s="39"/>
      <c r="H51" s="45"/>
      <c r="I51" s="133"/>
      <c r="J51" s="134"/>
      <c r="N51" s="72" t="s">
        <v>143</v>
      </c>
      <c r="O51" s="73" t="s">
        <v>144</v>
      </c>
      <c r="P51" s="17" t="s">
        <v>402</v>
      </c>
    </row>
    <row r="52" ht="15.75" customHeight="1" spans="1:16" x14ac:dyDescent="0.25">
      <c r="A52" s="138">
        <v>14</v>
      </c>
      <c r="B52" s="139">
        <f>VENDAS_PCP!B31</f>
        <v>0</v>
      </c>
      <c r="C52" s="159">
        <f>IFERROR(VLOOKUP(B12:B56,N18:O187,2,0),"")</f>
      </c>
      <c r="D52" s="160"/>
      <c r="E52" s="161"/>
      <c r="F52" s="143">
        <f>IFERROR(VLOOKUP(B52,N18:P190,3,0),"")</f>
      </c>
      <c r="G52" s="148"/>
      <c r="H52" s="145">
        <f>VENDAS_PCP!F31</f>
        <v>0</v>
      </c>
      <c r="I52" s="146">
        <f>VENDAS_PCP!G31</f>
        <v>0</v>
      </c>
      <c r="J52" s="147">
        <f>VENDAS_PCP!H31</f>
        <v>0</v>
      </c>
      <c r="N52" s="72" t="s">
        <v>146</v>
      </c>
      <c r="O52" s="73" t="s">
        <v>147</v>
      </c>
      <c r="P52" s="17" t="s">
        <v>402</v>
      </c>
    </row>
    <row r="53" ht="15.75" customHeight="1" spans="1:16" x14ac:dyDescent="0.25">
      <c r="A53" s="143" t="s">
        <v>395</v>
      </c>
      <c r="B53" s="148"/>
      <c r="C53" s="150"/>
      <c r="D53" s="164" t="s">
        <v>396</v>
      </c>
      <c r="E53" s="165"/>
      <c r="F53" s="166" t="s">
        <v>397</v>
      </c>
      <c r="G53" s="153"/>
      <c r="H53" s="145">
        <f>H52</f>
        <v>0</v>
      </c>
      <c r="I53" s="154"/>
      <c r="J53" s="155"/>
      <c r="N53" s="72" t="s">
        <v>151</v>
      </c>
      <c r="O53" s="73" t="s">
        <v>152</v>
      </c>
      <c r="P53" s="17" t="s">
        <v>402</v>
      </c>
    </row>
    <row r="54" ht="4.5" customHeight="1" spans="1:16" x14ac:dyDescent="0.25">
      <c r="A54" s="53"/>
      <c r="B54" s="128"/>
      <c r="C54" s="135"/>
      <c r="D54" s="136"/>
      <c r="E54" s="137"/>
      <c r="F54" s="57"/>
      <c r="G54" s="39"/>
      <c r="H54" s="45"/>
      <c r="I54" s="133"/>
      <c r="J54" s="134"/>
      <c r="N54" s="72" t="s">
        <v>153</v>
      </c>
      <c r="O54" s="73" t="s">
        <v>154</v>
      </c>
      <c r="P54" s="17" t="s">
        <v>402</v>
      </c>
    </row>
    <row r="55" ht="15.75" customHeight="1" spans="1:16" x14ac:dyDescent="0.25">
      <c r="A55" s="44">
        <v>15</v>
      </c>
      <c r="B55" s="124">
        <f>VENDAS_PCP!B32</f>
        <v>0</v>
      </c>
      <c r="C55" s="125">
        <f>IFERROR(VLOOKUP(B13:B56,N19:O188,2,0),"")</f>
      </c>
      <c r="D55" s="126"/>
      <c r="E55" s="127"/>
      <c r="F55" s="53">
        <f>IFERROR(VLOOKUP(B55,N18:P196,3,0),"")</f>
      </c>
      <c r="G55" s="128"/>
      <c r="H55" s="45">
        <f>VENDAS_PCP!F32</f>
        <v>0</v>
      </c>
      <c r="I55" s="129">
        <f>VENDAS_PCP!G32</f>
        <v>0</v>
      </c>
      <c r="J55" s="70">
        <f>VENDAS_PCP!H32</f>
        <v>0</v>
      </c>
      <c r="N55" s="72" t="s">
        <v>155</v>
      </c>
      <c r="O55" s="73" t="s">
        <v>156</v>
      </c>
      <c r="P55" s="17" t="s">
        <v>402</v>
      </c>
    </row>
    <row r="56" ht="15.75" customHeight="1" spans="1:16" x14ac:dyDescent="0.25">
      <c r="A56" s="53" t="s">
        <v>395</v>
      </c>
      <c r="B56" s="128"/>
      <c r="C56" s="135"/>
      <c r="D56" s="131" t="s">
        <v>396</v>
      </c>
      <c r="E56" s="137"/>
      <c r="F56" s="57" t="s">
        <v>397</v>
      </c>
      <c r="G56" s="39"/>
      <c r="H56" s="45">
        <f>H55</f>
        <v>0</v>
      </c>
      <c r="I56" s="133"/>
      <c r="J56" s="134"/>
      <c r="N56" s="72" t="s">
        <v>157</v>
      </c>
      <c r="O56" s="73" t="s">
        <v>158</v>
      </c>
      <c r="P56" s="17" t="s">
        <v>402</v>
      </c>
    </row>
    <row r="57" ht="12" customHeight="1" spans="14:16" x14ac:dyDescent="0.25">
      <c r="N57" s="72" t="s">
        <v>159</v>
      </c>
      <c r="O57" s="73" t="s">
        <v>160</v>
      </c>
      <c r="P57" s="17" t="s">
        <v>402</v>
      </c>
    </row>
    <row r="58" ht="15.75" customHeight="1" spans="1:16" x14ac:dyDescent="0.25">
      <c r="A58" s="106" t="s">
        <v>134</v>
      </c>
      <c r="B58" s="106"/>
      <c r="C58" s="106"/>
      <c r="D58" s="3" t="s">
        <v>135</v>
      </c>
      <c r="E58" s="3"/>
      <c r="F58" s="106" t="s">
        <v>136</v>
      </c>
      <c r="G58" s="106"/>
      <c r="H58" s="3" t="s">
        <v>137</v>
      </c>
      <c r="I58" s="3"/>
      <c r="J58" s="3"/>
      <c r="N58" s="72" t="s">
        <v>161</v>
      </c>
      <c r="O58" s="73" t="s">
        <v>162</v>
      </c>
      <c r="P58" s="17" t="s">
        <v>402</v>
      </c>
    </row>
    <row r="59" ht="15.75" customHeight="1" spans="1:16" x14ac:dyDescent="0.25">
      <c r="A59" s="106" t="s">
        <v>395</v>
      </c>
      <c r="B59" s="106"/>
      <c r="C59" s="80"/>
      <c r="D59" s="81"/>
      <c r="N59" s="72" t="s">
        <v>163</v>
      </c>
      <c r="O59" s="73" t="s">
        <v>164</v>
      </c>
      <c r="P59" s="17" t="s">
        <v>402</v>
      </c>
    </row>
    <row r="60" ht="15.75" customHeight="1" spans="1:16" x14ac:dyDescent="0.25">
      <c r="A60" s="106" t="s">
        <v>403</v>
      </c>
      <c r="B60" s="106"/>
      <c r="C60" s="80"/>
      <c r="D60" s="81"/>
      <c r="E60" s="40" t="s">
        <v>142</v>
      </c>
      <c r="F60" s="33"/>
      <c r="G60" s="33"/>
      <c r="H60" s="33"/>
      <c r="I60" s="33"/>
      <c r="J60" s="41"/>
      <c r="N60" s="72" t="s">
        <v>165</v>
      </c>
      <c r="O60" s="73" t="s">
        <v>166</v>
      </c>
      <c r="P60" s="17" t="s">
        <v>402</v>
      </c>
    </row>
    <row r="61" ht="15.75" customHeight="1" spans="5:16" x14ac:dyDescent="0.25">
      <c r="E61" s="108">
        <f>VENDAS_PCP!E51</f>
        <v>0</v>
      </c>
      <c r="F61" s="171"/>
      <c r="G61" s="171"/>
      <c r="H61" s="171"/>
      <c r="I61" s="171"/>
      <c r="J61" s="172"/>
      <c r="N61" s="72" t="s">
        <v>167</v>
      </c>
      <c r="O61" s="73" t="s">
        <v>168</v>
      </c>
      <c r="P61" s="17" t="s">
        <v>402</v>
      </c>
    </row>
    <row r="62" ht="15.75" customHeight="1" spans="2:16" x14ac:dyDescent="0.25">
      <c r="B62" s="45"/>
      <c r="C62" s="107" t="s">
        <v>145</v>
      </c>
      <c r="D62" s="106"/>
      <c r="E62" s="173"/>
      <c r="F62" s="174"/>
      <c r="G62" s="174"/>
      <c r="H62" s="174"/>
      <c r="I62" s="174"/>
      <c r="J62" s="175"/>
      <c r="N62" s="72" t="s">
        <v>169</v>
      </c>
      <c r="O62" s="73" t="s">
        <v>170</v>
      </c>
      <c r="P62" s="17" t="s">
        <v>402</v>
      </c>
    </row>
    <row r="63" ht="15.75" customHeight="1" spans="5:16" x14ac:dyDescent="0.25">
      <c r="E63" s="173"/>
      <c r="F63" s="174"/>
      <c r="G63" s="174"/>
      <c r="H63" s="174"/>
      <c r="I63" s="174"/>
      <c r="J63" s="175"/>
      <c r="N63" s="72" t="s">
        <v>171</v>
      </c>
      <c r="O63" s="73" t="s">
        <v>172</v>
      </c>
      <c r="P63" s="17" t="s">
        <v>402</v>
      </c>
    </row>
    <row r="64" ht="15.75" customHeight="1" spans="2:16" x14ac:dyDescent="0.25">
      <c r="B64" s="45"/>
      <c r="C64" s="107" t="s">
        <v>150</v>
      </c>
      <c r="D64" s="106"/>
      <c r="E64" s="176"/>
      <c r="F64" s="177"/>
      <c r="G64" s="177"/>
      <c r="H64" s="177"/>
      <c r="I64" s="177"/>
      <c r="J64" s="178"/>
      <c r="N64" s="72" t="s">
        <v>173</v>
      </c>
      <c r="O64" s="73" t="s">
        <v>174</v>
      </c>
      <c r="P64" s="17" t="s">
        <v>402</v>
      </c>
    </row>
    <row r="65" spans="14:16" x14ac:dyDescent="0.25">
      <c r="N65" s="72" t="s">
        <v>175</v>
      </c>
      <c r="O65" s="73" t="s">
        <v>176</v>
      </c>
      <c r="P65" s="17" t="s">
        <v>404</v>
      </c>
    </row>
    <row r="66" spans="14:16" x14ac:dyDescent="0.25">
      <c r="N66" s="72" t="s">
        <v>177</v>
      </c>
      <c r="O66" s="73" t="s">
        <v>178</v>
      </c>
      <c r="P66" s="17" t="s">
        <v>404</v>
      </c>
    </row>
    <row r="67" spans="14:16" x14ac:dyDescent="0.25">
      <c r="N67" s="72" t="s">
        <v>179</v>
      </c>
      <c r="O67" s="73" t="s">
        <v>180</v>
      </c>
      <c r="P67" s="17" t="s">
        <v>404</v>
      </c>
    </row>
    <row r="68" spans="14:16" x14ac:dyDescent="0.25">
      <c r="N68" s="72" t="s">
        <v>181</v>
      </c>
      <c r="O68" s="73" t="s">
        <v>405</v>
      </c>
      <c r="P68" s="17" t="s">
        <v>404</v>
      </c>
    </row>
    <row r="69" spans="14:16" x14ac:dyDescent="0.25">
      <c r="N69" s="72" t="s">
        <v>183</v>
      </c>
      <c r="O69" s="73" t="s">
        <v>184</v>
      </c>
      <c r="P69" s="17" t="s">
        <v>404</v>
      </c>
    </row>
    <row r="70" spans="14:16" x14ac:dyDescent="0.25">
      <c r="N70" s="72" t="s">
        <v>185</v>
      </c>
      <c r="O70" s="73" t="s">
        <v>186</v>
      </c>
      <c r="P70" s="17" t="s">
        <v>404</v>
      </c>
    </row>
    <row r="71" spans="14:16" x14ac:dyDescent="0.25">
      <c r="N71" s="72" t="s">
        <v>187</v>
      </c>
      <c r="O71" s="73" t="s">
        <v>188</v>
      </c>
      <c r="P71" s="17" t="s">
        <v>404</v>
      </c>
    </row>
    <row r="72" spans="14:16" x14ac:dyDescent="0.25">
      <c r="N72" s="72" t="s">
        <v>189</v>
      </c>
      <c r="O72" s="73" t="s">
        <v>190</v>
      </c>
      <c r="P72" s="17" t="s">
        <v>404</v>
      </c>
    </row>
    <row r="73" spans="14:16" x14ac:dyDescent="0.25">
      <c r="N73" s="72" t="s">
        <v>191</v>
      </c>
      <c r="O73" s="73" t="s">
        <v>192</v>
      </c>
      <c r="P73" s="17" t="s">
        <v>406</v>
      </c>
    </row>
    <row r="74" spans="14:16" x14ac:dyDescent="0.25">
      <c r="N74" s="72" t="s">
        <v>407</v>
      </c>
      <c r="O74" s="73" t="s">
        <v>408</v>
      </c>
      <c r="P74" s="17" t="s">
        <v>404</v>
      </c>
    </row>
    <row r="75" spans="14:16" x14ac:dyDescent="0.25">
      <c r="N75" s="72" t="s">
        <v>193</v>
      </c>
      <c r="O75" s="73" t="s">
        <v>194</v>
      </c>
      <c r="P75" s="17" t="s">
        <v>404</v>
      </c>
    </row>
    <row r="76" spans="14:16" x14ac:dyDescent="0.25">
      <c r="N76" s="72" t="s">
        <v>195</v>
      </c>
      <c r="O76" s="73" t="s">
        <v>196</v>
      </c>
      <c r="P76" s="17" t="s">
        <v>404</v>
      </c>
    </row>
    <row r="77" spans="14:16" x14ac:dyDescent="0.25">
      <c r="N77" s="72" t="s">
        <v>197</v>
      </c>
      <c r="O77" s="73" t="s">
        <v>198</v>
      </c>
      <c r="P77" s="17" t="s">
        <v>404</v>
      </c>
    </row>
    <row r="78" spans="14:16" x14ac:dyDescent="0.25">
      <c r="N78" s="72" t="s">
        <v>199</v>
      </c>
      <c r="O78" s="73" t="s">
        <v>200</v>
      </c>
      <c r="P78" s="17" t="s">
        <v>404</v>
      </c>
    </row>
    <row r="79" spans="14:16" x14ac:dyDescent="0.25">
      <c r="N79" s="72" t="s">
        <v>201</v>
      </c>
      <c r="O79" s="73" t="s">
        <v>202</v>
      </c>
      <c r="P79" s="17" t="s">
        <v>404</v>
      </c>
    </row>
    <row r="80" spans="14:16" x14ac:dyDescent="0.25">
      <c r="N80" s="72" t="s">
        <v>203</v>
      </c>
      <c r="O80" s="73" t="s">
        <v>204</v>
      </c>
      <c r="P80" s="17" t="s">
        <v>404</v>
      </c>
    </row>
    <row r="81" spans="14:16" x14ac:dyDescent="0.25">
      <c r="N81" s="72" t="s">
        <v>205</v>
      </c>
      <c r="O81" s="73" t="s">
        <v>206</v>
      </c>
      <c r="P81" s="17" t="s">
        <v>404</v>
      </c>
    </row>
    <row r="82" spans="14:16" x14ac:dyDescent="0.25">
      <c r="N82" s="72" t="s">
        <v>207</v>
      </c>
      <c r="O82" s="73" t="s">
        <v>208</v>
      </c>
      <c r="P82" s="17" t="s">
        <v>404</v>
      </c>
    </row>
    <row r="83" spans="14:16" x14ac:dyDescent="0.25">
      <c r="N83" s="72" t="s">
        <v>209</v>
      </c>
      <c r="O83" s="73" t="s">
        <v>210</v>
      </c>
      <c r="P83" s="17" t="s">
        <v>404</v>
      </c>
    </row>
    <row r="84" spans="14:16" x14ac:dyDescent="0.25">
      <c r="N84" s="72" t="s">
        <v>211</v>
      </c>
      <c r="O84" s="73" t="s">
        <v>212</v>
      </c>
      <c r="P84" s="17" t="s">
        <v>404</v>
      </c>
    </row>
    <row r="85" spans="14:16" x14ac:dyDescent="0.25">
      <c r="N85" s="72" t="s">
        <v>213</v>
      </c>
      <c r="O85" s="73" t="s">
        <v>214</v>
      </c>
      <c r="P85" s="17" t="s">
        <v>404</v>
      </c>
    </row>
    <row r="86" spans="14:16" x14ac:dyDescent="0.25">
      <c r="N86" s="72" t="s">
        <v>215</v>
      </c>
      <c r="O86" s="73" t="s">
        <v>216</v>
      </c>
      <c r="P86" s="17" t="s">
        <v>404</v>
      </c>
    </row>
    <row r="87" spans="14:16" x14ac:dyDescent="0.25">
      <c r="N87" s="72" t="s">
        <v>217</v>
      </c>
      <c r="O87" s="73" t="s">
        <v>218</v>
      </c>
      <c r="P87" s="17" t="s">
        <v>404</v>
      </c>
    </row>
    <row r="88" spans="14:16" x14ac:dyDescent="0.25">
      <c r="N88" s="72" t="s">
        <v>219</v>
      </c>
      <c r="O88" s="73" t="s">
        <v>220</v>
      </c>
      <c r="P88" s="17" t="s">
        <v>404</v>
      </c>
    </row>
    <row r="89" spans="14:16" x14ac:dyDescent="0.25">
      <c r="N89" s="72" t="s">
        <v>221</v>
      </c>
      <c r="O89" s="73" t="s">
        <v>222</v>
      </c>
      <c r="P89" s="17" t="s">
        <v>404</v>
      </c>
    </row>
    <row r="90" spans="14:16" x14ac:dyDescent="0.25">
      <c r="N90" s="72" t="s">
        <v>223</v>
      </c>
      <c r="O90" s="73" t="s">
        <v>224</v>
      </c>
      <c r="P90" s="17" t="s">
        <v>404</v>
      </c>
    </row>
    <row r="91" spans="14:16" x14ac:dyDescent="0.25">
      <c r="N91" s="72" t="s">
        <v>225</v>
      </c>
      <c r="O91" s="73" t="s">
        <v>226</v>
      </c>
      <c r="P91" s="17" t="s">
        <v>409</v>
      </c>
    </row>
    <row r="92" spans="14:16" x14ac:dyDescent="0.25">
      <c r="N92" s="72" t="s">
        <v>227</v>
      </c>
      <c r="O92" s="73" t="s">
        <v>228</v>
      </c>
      <c r="P92" s="17" t="s">
        <v>409</v>
      </c>
    </row>
    <row r="93" spans="14:16" x14ac:dyDescent="0.25">
      <c r="N93" s="72" t="s">
        <v>229</v>
      </c>
      <c r="O93" s="73" t="s">
        <v>230</v>
      </c>
      <c r="P93" s="17" t="s">
        <v>409</v>
      </c>
    </row>
    <row r="94" spans="14:16" x14ac:dyDescent="0.25">
      <c r="N94" s="72" t="s">
        <v>231</v>
      </c>
      <c r="O94" s="73" t="s">
        <v>232</v>
      </c>
      <c r="P94" s="17" t="s">
        <v>409</v>
      </c>
    </row>
    <row r="95" spans="14:16" x14ac:dyDescent="0.25">
      <c r="N95" s="72" t="s">
        <v>233</v>
      </c>
      <c r="O95" s="73" t="s">
        <v>234</v>
      </c>
      <c r="P95" s="17" t="s">
        <v>409</v>
      </c>
    </row>
    <row r="96" spans="14:16" x14ac:dyDescent="0.25">
      <c r="N96" s="72" t="s">
        <v>235</v>
      </c>
      <c r="O96" s="73" t="s">
        <v>236</v>
      </c>
      <c r="P96" s="17" t="s">
        <v>409</v>
      </c>
    </row>
    <row r="97" spans="14:16" x14ac:dyDescent="0.25">
      <c r="N97" s="72" t="s">
        <v>237</v>
      </c>
      <c r="O97" s="73" t="s">
        <v>238</v>
      </c>
      <c r="P97" s="17" t="s">
        <v>409</v>
      </c>
    </row>
    <row r="98" spans="14:16" x14ac:dyDescent="0.25">
      <c r="N98" s="72" t="s">
        <v>239</v>
      </c>
      <c r="O98" s="73" t="s">
        <v>240</v>
      </c>
      <c r="P98" s="17" t="s">
        <v>409</v>
      </c>
    </row>
    <row r="99" spans="14:16" x14ac:dyDescent="0.25">
      <c r="N99" s="72" t="s">
        <v>410</v>
      </c>
      <c r="O99" s="73" t="s">
        <v>411</v>
      </c>
      <c r="P99" s="17" t="s">
        <v>409</v>
      </c>
    </row>
    <row r="100" spans="14:16" x14ac:dyDescent="0.25">
      <c r="N100" s="72" t="s">
        <v>241</v>
      </c>
      <c r="O100" s="73" t="s">
        <v>242</v>
      </c>
      <c r="P100" s="17" t="s">
        <v>409</v>
      </c>
    </row>
    <row r="101" spans="14:16" x14ac:dyDescent="0.25">
      <c r="N101" s="72" t="s">
        <v>243</v>
      </c>
      <c r="O101" s="73" t="s">
        <v>244</v>
      </c>
      <c r="P101" s="17" t="s">
        <v>409</v>
      </c>
    </row>
    <row r="102" spans="14:16" x14ac:dyDescent="0.25">
      <c r="N102" s="72" t="s">
        <v>245</v>
      </c>
      <c r="O102" s="73" t="s">
        <v>246</v>
      </c>
      <c r="P102" s="17" t="s">
        <v>409</v>
      </c>
    </row>
    <row r="103" spans="14:16" x14ac:dyDescent="0.25">
      <c r="N103" s="72" t="s">
        <v>247</v>
      </c>
      <c r="O103" s="73" t="s">
        <v>248</v>
      </c>
      <c r="P103" s="17" t="s">
        <v>409</v>
      </c>
    </row>
    <row r="104" spans="14:16" x14ac:dyDescent="0.25">
      <c r="N104" s="72" t="s">
        <v>249</v>
      </c>
      <c r="O104" s="73" t="s">
        <v>250</v>
      </c>
      <c r="P104" s="17" t="s">
        <v>409</v>
      </c>
    </row>
    <row r="105" spans="14:16" x14ac:dyDescent="0.25">
      <c r="N105" s="72" t="s">
        <v>251</v>
      </c>
      <c r="O105" s="73" t="s">
        <v>252</v>
      </c>
      <c r="P105" s="17" t="s">
        <v>409</v>
      </c>
    </row>
    <row r="106" spans="14:16" x14ac:dyDescent="0.25">
      <c r="N106" s="72" t="s">
        <v>253</v>
      </c>
      <c r="O106" s="73" t="s">
        <v>254</v>
      </c>
      <c r="P106" s="17" t="s">
        <v>409</v>
      </c>
    </row>
    <row r="107" spans="14:16" x14ac:dyDescent="0.25">
      <c r="N107" s="72" t="s">
        <v>255</v>
      </c>
      <c r="O107" s="73" t="s">
        <v>256</v>
      </c>
      <c r="P107" s="17" t="s">
        <v>409</v>
      </c>
    </row>
    <row r="108" spans="14:16" x14ac:dyDescent="0.25">
      <c r="N108" s="72" t="s">
        <v>257</v>
      </c>
      <c r="O108" s="73" t="s">
        <v>258</v>
      </c>
      <c r="P108" s="17" t="s">
        <v>409</v>
      </c>
    </row>
    <row r="109" spans="14:16" x14ac:dyDescent="0.25">
      <c r="N109" s="72" t="s">
        <v>259</v>
      </c>
      <c r="O109" s="73" t="s">
        <v>260</v>
      </c>
      <c r="P109" s="17" t="s">
        <v>409</v>
      </c>
    </row>
    <row r="110" spans="14:16" x14ac:dyDescent="0.25">
      <c r="N110" s="72" t="s">
        <v>261</v>
      </c>
      <c r="O110" s="73" t="s">
        <v>262</v>
      </c>
      <c r="P110" s="17" t="s">
        <v>409</v>
      </c>
    </row>
    <row r="111" spans="14:16" x14ac:dyDescent="0.25">
      <c r="N111" s="72" t="s">
        <v>263</v>
      </c>
      <c r="O111" s="73" t="s">
        <v>264</v>
      </c>
      <c r="P111" s="17" t="s">
        <v>409</v>
      </c>
    </row>
    <row r="112" spans="14:16" x14ac:dyDescent="0.25">
      <c r="N112" s="72" t="s">
        <v>265</v>
      </c>
      <c r="O112" s="73" t="s">
        <v>266</v>
      </c>
      <c r="P112" s="17" t="s">
        <v>409</v>
      </c>
    </row>
    <row r="113" spans="14:16" x14ac:dyDescent="0.25">
      <c r="N113" s="72" t="s">
        <v>267</v>
      </c>
      <c r="O113" s="73" t="s">
        <v>268</v>
      </c>
      <c r="P113" s="17" t="s">
        <v>409</v>
      </c>
    </row>
    <row r="114" spans="14:16" x14ac:dyDescent="0.25">
      <c r="N114" s="72" t="s">
        <v>269</v>
      </c>
      <c r="O114" s="73" t="s">
        <v>270</v>
      </c>
      <c r="P114" s="17" t="s">
        <v>409</v>
      </c>
    </row>
    <row r="115" spans="14:16" x14ac:dyDescent="0.25">
      <c r="N115" s="72" t="s">
        <v>271</v>
      </c>
      <c r="O115" s="73" t="s">
        <v>272</v>
      </c>
      <c r="P115" s="17" t="s">
        <v>409</v>
      </c>
    </row>
    <row r="116" spans="14:16" x14ac:dyDescent="0.25">
      <c r="N116" s="72" t="s">
        <v>273</v>
      </c>
      <c r="O116" s="73" t="s">
        <v>274</v>
      </c>
      <c r="P116" s="17" t="s">
        <v>412</v>
      </c>
    </row>
    <row r="117" spans="14:16" x14ac:dyDescent="0.25">
      <c r="N117" s="72" t="s">
        <v>275</v>
      </c>
      <c r="O117" s="73" t="s">
        <v>276</v>
      </c>
      <c r="P117" s="17" t="s">
        <v>412</v>
      </c>
    </row>
    <row r="118" spans="14:16" x14ac:dyDescent="0.25">
      <c r="N118" s="72" t="s">
        <v>277</v>
      </c>
      <c r="O118" s="73" t="s">
        <v>278</v>
      </c>
      <c r="P118" s="17" t="s">
        <v>412</v>
      </c>
    </row>
    <row r="119" spans="14:16" x14ac:dyDescent="0.25">
      <c r="N119" s="72" t="s">
        <v>279</v>
      </c>
      <c r="O119" s="73" t="s">
        <v>280</v>
      </c>
      <c r="P119" s="17" t="s">
        <v>412</v>
      </c>
    </row>
    <row r="120" spans="14:16" x14ac:dyDescent="0.25">
      <c r="N120" s="72" t="s">
        <v>281</v>
      </c>
      <c r="O120" s="73" t="s">
        <v>282</v>
      </c>
      <c r="P120" s="17" t="s">
        <v>412</v>
      </c>
    </row>
    <row r="121" spans="14:16" x14ac:dyDescent="0.25">
      <c r="N121" s="72" t="s">
        <v>283</v>
      </c>
      <c r="O121" s="73" t="s">
        <v>284</v>
      </c>
      <c r="P121" s="17" t="s">
        <v>412</v>
      </c>
    </row>
    <row r="122" spans="14:16" x14ac:dyDescent="0.25">
      <c r="N122" s="72" t="s">
        <v>285</v>
      </c>
      <c r="O122" s="73" t="s">
        <v>286</v>
      </c>
      <c r="P122" s="17" t="s">
        <v>412</v>
      </c>
    </row>
    <row r="123" spans="14:16" x14ac:dyDescent="0.25">
      <c r="N123" s="72" t="s">
        <v>287</v>
      </c>
      <c r="O123" s="73" t="s">
        <v>288</v>
      </c>
      <c r="P123" s="17" t="s">
        <v>412</v>
      </c>
    </row>
    <row r="124" spans="14:16" x14ac:dyDescent="0.25">
      <c r="N124" s="72" t="s">
        <v>289</v>
      </c>
      <c r="O124" s="73" t="s">
        <v>290</v>
      </c>
      <c r="P124" s="17" t="s">
        <v>412</v>
      </c>
    </row>
    <row r="125" spans="14:16" x14ac:dyDescent="0.25">
      <c r="N125" s="72" t="s">
        <v>291</v>
      </c>
      <c r="O125" s="73" t="s">
        <v>292</v>
      </c>
      <c r="P125" s="17" t="s">
        <v>412</v>
      </c>
    </row>
    <row r="126" spans="14:16" x14ac:dyDescent="0.25">
      <c r="N126" s="72" t="s">
        <v>293</v>
      </c>
      <c r="O126" s="73" t="s">
        <v>294</v>
      </c>
      <c r="P126" s="17" t="s">
        <v>412</v>
      </c>
    </row>
    <row r="127" spans="14:16" x14ac:dyDescent="0.25">
      <c r="N127" s="72" t="s">
        <v>295</v>
      </c>
      <c r="O127" s="73" t="s">
        <v>296</v>
      </c>
      <c r="P127" s="17" t="s">
        <v>413</v>
      </c>
    </row>
    <row r="128" spans="14:16" x14ac:dyDescent="0.25">
      <c r="N128" s="72" t="s">
        <v>297</v>
      </c>
      <c r="O128" s="73" t="s">
        <v>298</v>
      </c>
      <c r="P128" s="17" t="s">
        <v>413</v>
      </c>
    </row>
    <row r="129" spans="14:16" x14ac:dyDescent="0.25">
      <c r="N129" s="72" t="s">
        <v>299</v>
      </c>
      <c r="O129" s="73" t="s">
        <v>300</v>
      </c>
      <c r="P129" s="17" t="s">
        <v>413</v>
      </c>
    </row>
    <row r="130" spans="14:16" x14ac:dyDescent="0.25">
      <c r="N130" s="72" t="s">
        <v>301</v>
      </c>
      <c r="O130" s="73" t="s">
        <v>302</v>
      </c>
      <c r="P130" s="17" t="s">
        <v>413</v>
      </c>
    </row>
    <row r="131" spans="14:16" x14ac:dyDescent="0.25">
      <c r="N131" s="72" t="s">
        <v>303</v>
      </c>
      <c r="O131" s="73" t="s">
        <v>304</v>
      </c>
      <c r="P131" s="17" t="s">
        <v>413</v>
      </c>
    </row>
    <row r="132" spans="14:16" x14ac:dyDescent="0.25">
      <c r="N132" s="72" t="s">
        <v>305</v>
      </c>
      <c r="O132" s="73" t="s">
        <v>306</v>
      </c>
      <c r="P132" s="17" t="s">
        <v>413</v>
      </c>
    </row>
    <row r="133" spans="14:16" x14ac:dyDescent="0.25">
      <c r="N133" s="72" t="s">
        <v>307</v>
      </c>
      <c r="O133" s="73" t="s">
        <v>308</v>
      </c>
      <c r="P133" s="17" t="s">
        <v>413</v>
      </c>
    </row>
    <row r="134" spans="14:16" x14ac:dyDescent="0.25">
      <c r="N134" s="72" t="s">
        <v>309</v>
      </c>
      <c r="O134" s="73" t="s">
        <v>310</v>
      </c>
      <c r="P134" s="17" t="s">
        <v>413</v>
      </c>
    </row>
    <row r="135" spans="14:16" x14ac:dyDescent="0.25">
      <c r="N135" s="72" t="s">
        <v>311</v>
      </c>
      <c r="O135" s="73" t="s">
        <v>312</v>
      </c>
      <c r="P135" s="17" t="s">
        <v>414</v>
      </c>
    </row>
    <row r="136" spans="14:16" x14ac:dyDescent="0.25">
      <c r="N136" s="72" t="s">
        <v>313</v>
      </c>
      <c r="O136" s="73" t="s">
        <v>314</v>
      </c>
      <c r="P136" s="17" t="s">
        <v>400</v>
      </c>
    </row>
    <row r="137" spans="14:16" x14ac:dyDescent="0.25">
      <c r="N137" s="72" t="s">
        <v>315</v>
      </c>
      <c r="O137" s="73" t="s">
        <v>316</v>
      </c>
      <c r="P137" s="17" t="s">
        <v>400</v>
      </c>
    </row>
    <row r="138" spans="14:16" x14ac:dyDescent="0.25">
      <c r="N138" s="72" t="s">
        <v>317</v>
      </c>
      <c r="O138" s="73" t="s">
        <v>318</v>
      </c>
      <c r="P138" s="17" t="s">
        <v>400</v>
      </c>
    </row>
    <row r="139" spans="14:16" x14ac:dyDescent="0.25">
      <c r="N139" s="72" t="s">
        <v>319</v>
      </c>
      <c r="O139" s="73" t="s">
        <v>320</v>
      </c>
      <c r="P139" s="17" t="s">
        <v>415</v>
      </c>
    </row>
    <row r="140" spans="14:16" x14ac:dyDescent="0.25">
      <c r="N140" s="72" t="s">
        <v>321</v>
      </c>
      <c r="O140" s="73" t="s">
        <v>322</v>
      </c>
      <c r="P140" s="17" t="s">
        <v>416</v>
      </c>
    </row>
    <row r="141" spans="14:16" x14ac:dyDescent="0.25">
      <c r="N141" s="72" t="s">
        <v>323</v>
      </c>
      <c r="O141" s="73" t="s">
        <v>324</v>
      </c>
      <c r="P141" s="17" t="s">
        <v>416</v>
      </c>
    </row>
    <row r="142" spans="14:16" x14ac:dyDescent="0.25">
      <c r="N142" s="72" t="s">
        <v>325</v>
      </c>
      <c r="O142" s="73" t="s">
        <v>326</v>
      </c>
      <c r="P142" s="17" t="s">
        <v>416</v>
      </c>
    </row>
    <row r="143" spans="14:16" x14ac:dyDescent="0.25">
      <c r="N143" s="72" t="s">
        <v>327</v>
      </c>
      <c r="O143" s="73" t="s">
        <v>328</v>
      </c>
      <c r="P143" s="17" t="s">
        <v>417</v>
      </c>
    </row>
    <row r="144" spans="14:16" x14ac:dyDescent="0.25">
      <c r="N144" s="72" t="s">
        <v>329</v>
      </c>
      <c r="O144" s="73" t="s">
        <v>330</v>
      </c>
      <c r="P144" s="17" t="s">
        <v>417</v>
      </c>
    </row>
    <row r="145" spans="14:16" x14ac:dyDescent="0.25">
      <c r="N145" s="72" t="s">
        <v>331</v>
      </c>
      <c r="O145" s="73" t="s">
        <v>332</v>
      </c>
      <c r="P145" s="17" t="s">
        <v>417</v>
      </c>
    </row>
    <row r="146" spans="14:16" x14ac:dyDescent="0.25">
      <c r="N146" s="72" t="s">
        <v>333</v>
      </c>
      <c r="O146" s="73" t="s">
        <v>334</v>
      </c>
      <c r="P146" s="17" t="s">
        <v>417</v>
      </c>
    </row>
    <row r="147" spans="14:15" x14ac:dyDescent="0.25">
      <c r="N147" s="72" t="s">
        <v>335</v>
      </c>
      <c r="O147" s="73" t="s">
        <v>336</v>
      </c>
    </row>
    <row r="148" spans="14:15" x14ac:dyDescent="0.25">
      <c r="N148" s="72" t="s">
        <v>337</v>
      </c>
      <c r="O148" s="73" t="s">
        <v>338</v>
      </c>
    </row>
    <row r="149" spans="14:15" x14ac:dyDescent="0.25">
      <c r="N149" s="72" t="s">
        <v>339</v>
      </c>
      <c r="O149" s="73" t="s">
        <v>340</v>
      </c>
    </row>
    <row r="150" spans="14:15" x14ac:dyDescent="0.25">
      <c r="N150" s="72" t="s">
        <v>341</v>
      </c>
      <c r="O150" s="73" t="s">
        <v>342</v>
      </c>
    </row>
    <row r="151" spans="14:16" x14ac:dyDescent="0.25">
      <c r="N151" s="72" t="s">
        <v>343</v>
      </c>
      <c r="O151" s="73" t="s">
        <v>344</v>
      </c>
      <c r="P151" s="17" t="s">
        <v>418</v>
      </c>
    </row>
    <row r="152" spans="14:16" x14ac:dyDescent="0.25">
      <c r="N152" s="72" t="s">
        <v>345</v>
      </c>
      <c r="O152" s="73" t="s">
        <v>346</v>
      </c>
      <c r="P152" s="17" t="s">
        <v>419</v>
      </c>
    </row>
    <row r="153" spans="14:16" x14ac:dyDescent="0.25">
      <c r="N153" s="72" t="s">
        <v>347</v>
      </c>
      <c r="O153" s="73" t="s">
        <v>348</v>
      </c>
      <c r="P153" s="17" t="s">
        <v>412</v>
      </c>
    </row>
    <row r="154" spans="14:16" x14ac:dyDescent="0.25">
      <c r="N154" s="72" t="s">
        <v>349</v>
      </c>
      <c r="O154" s="73" t="s">
        <v>350</v>
      </c>
      <c r="P154" s="17" t="s">
        <v>412</v>
      </c>
    </row>
    <row r="155" spans="14:16" x14ac:dyDescent="0.25">
      <c r="N155" s="72" t="s">
        <v>351</v>
      </c>
      <c r="O155" s="73" t="s">
        <v>352</v>
      </c>
      <c r="P155" s="17" t="s">
        <v>412</v>
      </c>
    </row>
    <row r="156" spans="14:16" x14ac:dyDescent="0.25">
      <c r="N156" s="72" t="s">
        <v>353</v>
      </c>
      <c r="O156" s="73" t="s">
        <v>354</v>
      </c>
      <c r="P156" s="17" t="s">
        <v>412</v>
      </c>
    </row>
    <row r="157" spans="14:16" x14ac:dyDescent="0.25">
      <c r="N157" s="72" t="s">
        <v>355</v>
      </c>
      <c r="O157" s="73" t="s">
        <v>356</v>
      </c>
      <c r="P157" s="17" t="s">
        <v>412</v>
      </c>
    </row>
    <row r="158" spans="14:16" x14ac:dyDescent="0.25">
      <c r="N158" s="72" t="s">
        <v>357</v>
      </c>
      <c r="O158" s="73" t="s">
        <v>358</v>
      </c>
      <c r="P158" s="17" t="s">
        <v>412</v>
      </c>
    </row>
    <row r="159" spans="14:16" x14ac:dyDescent="0.25">
      <c r="N159" s="72" t="s">
        <v>359</v>
      </c>
      <c r="O159" s="73" t="s">
        <v>360</v>
      </c>
      <c r="P159" s="17" t="s">
        <v>412</v>
      </c>
    </row>
    <row r="160" spans="14:16" x14ac:dyDescent="0.25">
      <c r="N160" s="72" t="s">
        <v>361</v>
      </c>
      <c r="O160" s="73" t="s">
        <v>362</v>
      </c>
      <c r="P160" s="17" t="s">
        <v>412</v>
      </c>
    </row>
    <row r="161" spans="14:16" x14ac:dyDescent="0.25">
      <c r="N161" s="72" t="s">
        <v>363</v>
      </c>
      <c r="O161" s="73" t="s">
        <v>364</v>
      </c>
      <c r="P161" s="17" t="s">
        <v>412</v>
      </c>
    </row>
    <row r="162" spans="14:16" x14ac:dyDescent="0.25">
      <c r="N162" s="72" t="s">
        <v>365</v>
      </c>
      <c r="O162" s="73" t="s">
        <v>366</v>
      </c>
      <c r="P162" s="17" t="s">
        <v>412</v>
      </c>
    </row>
    <row r="163" spans="14:16" x14ac:dyDescent="0.25">
      <c r="N163" s="72" t="s">
        <v>367</v>
      </c>
      <c r="O163" s="73" t="s">
        <v>368</v>
      </c>
      <c r="P163" s="17" t="s">
        <v>412</v>
      </c>
    </row>
    <row r="164" spans="14:15" x14ac:dyDescent="0.25">
      <c r="N164" s="72" t="s">
        <v>369</v>
      </c>
      <c r="O164" s="73" t="s">
        <v>370</v>
      </c>
    </row>
    <row r="165" spans="14:15" x14ac:dyDescent="0.25">
      <c r="N165" s="72" t="s">
        <v>371</v>
      </c>
      <c r="O165" s="73" t="s">
        <v>372</v>
      </c>
    </row>
    <row r="166" spans="14:15" x14ac:dyDescent="0.25">
      <c r="N166" s="72" t="s">
        <v>373</v>
      </c>
      <c r="O166" s="73" t="s">
        <v>374</v>
      </c>
    </row>
    <row r="167" spans="14:15" x14ac:dyDescent="0.25">
      <c r="N167" s="72" t="s">
        <v>375</v>
      </c>
      <c r="O167" s="73" t="s">
        <v>376</v>
      </c>
    </row>
    <row r="168" spans="14:15" x14ac:dyDescent="0.25">
      <c r="N168" s="72" t="s">
        <v>377</v>
      </c>
      <c r="O168" s="73" t="s">
        <v>378</v>
      </c>
    </row>
    <row r="169" spans="14:15" x14ac:dyDescent="0.25">
      <c r="N169" s="72" t="s">
        <v>379</v>
      </c>
      <c r="O169" s="73" t="s">
        <v>380</v>
      </c>
    </row>
    <row r="170" spans="14:15" x14ac:dyDescent="0.25">
      <c r="N170" s="72" t="s">
        <v>381</v>
      </c>
      <c r="O170" s="73" t="s">
        <v>382</v>
      </c>
    </row>
    <row r="171" spans="14:15" x14ac:dyDescent="0.25">
      <c r="N171" s="72" t="s">
        <v>383</v>
      </c>
      <c r="O171" s="73" t="s">
        <v>384</v>
      </c>
    </row>
    <row r="172" spans="14:15" x14ac:dyDescent="0.25">
      <c r="N172" s="72" t="s">
        <v>385</v>
      </c>
      <c r="O172" s="73" t="s">
        <v>386</v>
      </c>
    </row>
    <row r="173" spans="14:16" x14ac:dyDescent="0.25">
      <c r="N173" s="117" t="s">
        <v>387</v>
      </c>
      <c r="O173" s="179" t="s">
        <v>328</v>
      </c>
      <c r="P173" s="17" t="s">
        <v>420</v>
      </c>
    </row>
    <row r="174" spans="14:16" x14ac:dyDescent="0.25">
      <c r="N174" s="72" t="s">
        <v>388</v>
      </c>
      <c r="O174" s="73" t="s">
        <v>346</v>
      </c>
      <c r="P174" s="17" t="s">
        <v>419</v>
      </c>
    </row>
    <row r="175" spans="14:16" x14ac:dyDescent="0.25">
      <c r="N175" s="72" t="s">
        <v>389</v>
      </c>
      <c r="O175" s="73" t="s">
        <v>322</v>
      </c>
      <c r="P175" s="17" t="s">
        <v>421</v>
      </c>
    </row>
    <row r="176" spans="14:16" x14ac:dyDescent="0.25">
      <c r="N176" s="72" t="s">
        <v>390</v>
      </c>
      <c r="O176" s="73" t="s">
        <v>391</v>
      </c>
      <c r="P176" s="17" t="s">
        <v>404</v>
      </c>
    </row>
  </sheetData>
  <mergeCells count="94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H8:AI12"/>
    <mergeCell ref="A9:B9"/>
    <mergeCell ref="C9:G9"/>
    <mergeCell ref="H9:I9"/>
    <mergeCell ref="C12:E12"/>
    <mergeCell ref="F12:G12"/>
    <mergeCell ref="C13:E13"/>
    <mergeCell ref="F13:G13"/>
    <mergeCell ref="A14:B14"/>
    <mergeCell ref="I14:J14"/>
    <mergeCell ref="C16:E16"/>
    <mergeCell ref="F16:G16"/>
    <mergeCell ref="A17:B17"/>
    <mergeCell ref="I17:J17"/>
    <mergeCell ref="C19:E19"/>
    <mergeCell ref="F19:G19"/>
    <mergeCell ref="A20:B20"/>
    <mergeCell ref="I20:J20"/>
    <mergeCell ref="C22:E22"/>
    <mergeCell ref="F22:G22"/>
    <mergeCell ref="A23:B23"/>
    <mergeCell ref="I23:J23"/>
    <mergeCell ref="C25:E25"/>
    <mergeCell ref="F25:G25"/>
    <mergeCell ref="A26:B26"/>
    <mergeCell ref="I26:J26"/>
    <mergeCell ref="C28:E28"/>
    <mergeCell ref="F28:G28"/>
    <mergeCell ref="A29:B29"/>
    <mergeCell ref="I29:J29"/>
    <mergeCell ref="C31:E31"/>
    <mergeCell ref="F31:G31"/>
    <mergeCell ref="A32:B32"/>
    <mergeCell ref="I32:J32"/>
    <mergeCell ref="C34:E34"/>
    <mergeCell ref="F34:G34"/>
    <mergeCell ref="A35:B35"/>
    <mergeCell ref="I35:J35"/>
    <mergeCell ref="C37:E37"/>
    <mergeCell ref="F37:G37"/>
    <mergeCell ref="A38:B38"/>
    <mergeCell ref="I38:J38"/>
    <mergeCell ref="C40:E40"/>
    <mergeCell ref="F40:G40"/>
    <mergeCell ref="A41:B41"/>
    <mergeCell ref="I41:J41"/>
    <mergeCell ref="C43:E43"/>
    <mergeCell ref="F43:G43"/>
    <mergeCell ref="A44:B44"/>
    <mergeCell ref="I44:J44"/>
    <mergeCell ref="C46:E46"/>
    <mergeCell ref="F46:G46"/>
    <mergeCell ref="A47:B47"/>
    <mergeCell ref="I47:J47"/>
    <mergeCell ref="C49:E49"/>
    <mergeCell ref="F49:G49"/>
    <mergeCell ref="A50:B50"/>
    <mergeCell ref="I50:J50"/>
    <mergeCell ref="C52:E52"/>
    <mergeCell ref="F52:G52"/>
    <mergeCell ref="A53:B53"/>
    <mergeCell ref="I53:J53"/>
    <mergeCell ref="C55:E55"/>
    <mergeCell ref="F55:G55"/>
    <mergeCell ref="A56:B56"/>
    <mergeCell ref="I56:J56"/>
    <mergeCell ref="A58:C58"/>
    <mergeCell ref="D58:E58"/>
    <mergeCell ref="F58:G58"/>
    <mergeCell ref="H58:J58"/>
    <mergeCell ref="A59:B59"/>
    <mergeCell ref="C59:D59"/>
    <mergeCell ref="A60:B60"/>
    <mergeCell ref="C60:D60"/>
    <mergeCell ref="E60:J60"/>
    <mergeCell ref="E61:J64"/>
    <mergeCell ref="C62:D62"/>
    <mergeCell ref="C64:D64"/>
  </mergeCells>
  <dataValidations count="2">
    <dataValidation type="list" allowBlank="1" showInputMessage="1" showErrorMessage="1" sqref="J10">
      <formula1>$M$12:$M$13</formula1>
    </dataValidation>
    <dataValidation type="list" allowBlank="1" showInputMessage="1" showErrorMessage="1" sqref="J9:J10">
      <formula1>$M$12:$M$13</formula1>
    </dataValidation>
  </dataValidations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VENDAS_PCP</vt:lpstr>
      <vt:lpstr>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</dc:creator>
  <cp:lastModifiedBy>nyics shiah</cp:lastModifiedBy>
  <cp:lastPrinted>2025-08-21T12:34:30Z</cp:lastPrinted>
  <dcterms:created xsi:type="dcterms:W3CDTF">2025-03-11T17:03:22Z</dcterms:created>
  <dcterms:modified xsi:type="dcterms:W3CDTF">2025-12-25T21:13:08Z</dcterms:modified>
</cp:coreProperties>
</file>