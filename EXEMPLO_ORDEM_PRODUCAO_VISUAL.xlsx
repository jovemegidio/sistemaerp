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etor PCP\"/>
    </mc:Choice>
  </mc:AlternateContent>
  <xr:revisionPtr revIDLastSave="0" documentId="13_ncr:1_{09667705-0547-4A4F-888A-51E69A0122E6}" xr6:coauthVersionLast="47" xr6:coauthVersionMax="47" xr10:uidLastSave="{00000000-0000-0000-0000-000000000000}"/>
  <bookViews>
    <workbookView xWindow="4635" yWindow="1605" windowWidth="15375" windowHeight="8325" activeTab="1" xr2:uid="{F39F6697-3010-4FD9-84B7-452A1614C423}"/>
  </bookViews>
  <sheets>
    <sheet name="VENDAS_PCP" sheetId="1" r:id="rId1"/>
    <sheet name="PRODUÇÃO" sheetId="3" r:id="rId2"/>
  </sheets>
  <definedNames>
    <definedName name="_xlnm.Print_Area" localSheetId="1">PRODUÇÃO!$A$1:$J$64</definedName>
    <definedName name="_xlnm.Print_Area" localSheetId="0">VENDAS_PCP!$A$1:$J$54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4" i="3"/>
  <c r="B13" i="3"/>
  <c r="H8" i="3"/>
  <c r="G4" i="3" l="1"/>
  <c r="B22" i="3" l="1"/>
  <c r="B25" i="3"/>
  <c r="E61" i="3"/>
  <c r="G15" i="1"/>
  <c r="C21" i="1"/>
  <c r="J19" i="3"/>
  <c r="C32" i="1" l="1"/>
  <c r="C30" i="1"/>
  <c r="C29" i="1"/>
  <c r="C28" i="1"/>
  <c r="C27" i="1"/>
  <c r="C26" i="1"/>
  <c r="C25" i="1"/>
  <c r="C23" i="1"/>
  <c r="C22" i="1"/>
  <c r="C19" i="1"/>
  <c r="C20" i="1"/>
  <c r="C24" i="1"/>
  <c r="C31" i="1"/>
  <c r="C7" i="3" l="1"/>
  <c r="C8" i="3"/>
  <c r="C9" i="3"/>
  <c r="J4" i="3"/>
  <c r="H28" i="3" l="1"/>
  <c r="J22" i="3" l="1"/>
  <c r="I13" i="3" l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B16" i="3"/>
  <c r="F16" i="3" l="1"/>
  <c r="C16" i="3"/>
  <c r="J55" i="3"/>
  <c r="J52" i="3"/>
  <c r="J49" i="3"/>
  <c r="J46" i="3"/>
  <c r="J43" i="3"/>
  <c r="J40" i="3"/>
  <c r="J37" i="3"/>
  <c r="J34" i="3"/>
  <c r="J31" i="3"/>
  <c r="J28" i="3"/>
  <c r="J25" i="3"/>
  <c r="J16" i="3"/>
  <c r="J13" i="3"/>
  <c r="I16" i="3"/>
  <c r="I19" i="3"/>
  <c r="I22" i="3"/>
  <c r="I25" i="3"/>
  <c r="I28" i="3"/>
  <c r="I31" i="3"/>
  <c r="I34" i="3"/>
  <c r="I37" i="3"/>
  <c r="I40" i="3"/>
  <c r="I43" i="3"/>
  <c r="I46" i="3"/>
  <c r="I49" i="3"/>
  <c r="I52" i="3"/>
  <c r="I55" i="3"/>
  <c r="H55" i="3"/>
  <c r="H56" i="3" s="1"/>
  <c r="H52" i="3"/>
  <c r="H53" i="3" s="1"/>
  <c r="H49" i="3"/>
  <c r="H50" i="3" s="1"/>
  <c r="H46" i="3"/>
  <c r="H47" i="3" s="1"/>
  <c r="H43" i="3"/>
  <c r="H44" i="3" s="1"/>
  <c r="H40" i="3"/>
  <c r="H41" i="3" s="1"/>
  <c r="H37" i="3"/>
  <c r="H38" i="3" s="1"/>
  <c r="H34" i="3"/>
  <c r="H35" i="3" s="1"/>
  <c r="H31" i="3"/>
  <c r="H32" i="3" s="1"/>
  <c r="H29" i="3"/>
  <c r="H25" i="3"/>
  <c r="H26" i="3" s="1"/>
  <c r="H22" i="3"/>
  <c r="H23" i="3" s="1"/>
  <c r="H19" i="3"/>
  <c r="H20" i="3" s="1"/>
  <c r="H16" i="3"/>
  <c r="H17" i="3" s="1"/>
  <c r="H13" i="3"/>
  <c r="H14" i="3" s="1"/>
  <c r="B55" i="3"/>
  <c r="B52" i="3"/>
  <c r="B49" i="3"/>
  <c r="B46" i="3"/>
  <c r="B43" i="3"/>
  <c r="B40" i="3"/>
  <c r="C40" i="3" s="1"/>
  <c r="B37" i="3"/>
  <c r="B34" i="3"/>
  <c r="B31" i="3"/>
  <c r="B28" i="3"/>
  <c r="B19" i="3"/>
  <c r="C19" i="3" s="1"/>
  <c r="C13" i="3"/>
  <c r="J9" i="3"/>
  <c r="C6" i="3"/>
  <c r="E4" i="3"/>
  <c r="J18" i="1"/>
  <c r="I35" i="1" s="1"/>
  <c r="E46" i="1"/>
  <c r="H6" i="3"/>
  <c r="F49" i="3" l="1"/>
  <c r="C49" i="3"/>
  <c r="F52" i="3"/>
  <c r="C52" i="3"/>
  <c r="F55" i="3"/>
  <c r="C55" i="3"/>
  <c r="F46" i="3"/>
  <c r="C46" i="3"/>
  <c r="F43" i="3"/>
  <c r="C43" i="3"/>
  <c r="F40" i="3"/>
  <c r="F37" i="3"/>
  <c r="C37" i="3"/>
  <c r="F34" i="3"/>
  <c r="C34" i="3"/>
  <c r="F31" i="3"/>
  <c r="C31" i="3"/>
  <c r="F28" i="3"/>
  <c r="C28" i="3"/>
  <c r="F25" i="3"/>
  <c r="C25" i="3"/>
  <c r="F22" i="3"/>
  <c r="C22" i="3"/>
  <c r="F13" i="3"/>
  <c r="F19" i="3"/>
  <c r="I45" i="1"/>
</calcChain>
</file>

<file path=xl/sharedStrings.xml><?xml version="1.0" encoding="utf-8"?>
<sst xmlns="http://schemas.openxmlformats.org/spreadsheetml/2006/main" count="120" uniqueCount="53">
  <si>
    <t>Orçamento:</t>
  </si>
  <si>
    <t>Revisão:</t>
  </si>
  <si>
    <t>Pedido:</t>
  </si>
  <si>
    <t xml:space="preserve">Dt. liberação: </t>
  </si>
  <si>
    <t>VENDEDOR:</t>
  </si>
  <si>
    <t>Email:</t>
  </si>
  <si>
    <t>Prazo de entrega:</t>
  </si>
  <si>
    <t>Cliente:</t>
  </si>
  <si>
    <t>Contato:</t>
  </si>
  <si>
    <t>Fone:</t>
  </si>
  <si>
    <t>Cep:</t>
  </si>
  <si>
    <t>Endereço:</t>
  </si>
  <si>
    <t>Frete:</t>
  </si>
  <si>
    <t>FOB</t>
  </si>
  <si>
    <t>Dados para cobrança:</t>
  </si>
  <si>
    <t>E-mail Nfe:</t>
  </si>
  <si>
    <t>Dados da transportadora:</t>
  </si>
  <si>
    <t>Produto</t>
  </si>
  <si>
    <t>Lance(s)</t>
  </si>
  <si>
    <t>V. Total. R$</t>
  </si>
  <si>
    <t>Nome:</t>
  </si>
  <si>
    <t xml:space="preserve">Cod. </t>
  </si>
  <si>
    <t>V. Un. R$</t>
  </si>
  <si>
    <t>Embalagem:</t>
  </si>
  <si>
    <t>Qtd.</t>
  </si>
  <si>
    <t>CONDIÇOES DE PAGAMENTO.</t>
  </si>
  <si>
    <t>Observações do Pedido</t>
  </si>
  <si>
    <t>Método de Pagamento</t>
  </si>
  <si>
    <t>Valor Total $</t>
  </si>
  <si>
    <t>PARCELADO</t>
  </si>
  <si>
    <t>%</t>
  </si>
  <si>
    <t>Total do Pedido:$</t>
  </si>
  <si>
    <t>FORMAS DE PAGAMENTO</t>
  </si>
  <si>
    <t>QTD - VOLUME:</t>
  </si>
  <si>
    <t>EMBALAGEM:</t>
  </si>
  <si>
    <t>__________________________</t>
  </si>
  <si>
    <t>___________________________</t>
  </si>
  <si>
    <t>COMPLETO</t>
  </si>
  <si>
    <t>PARCIAL</t>
  </si>
  <si>
    <t>OBSERVAÇÕES:</t>
  </si>
  <si>
    <t>ENTREGA</t>
  </si>
  <si>
    <t>Cod. Cores</t>
  </si>
  <si>
    <t>P. BRUTO</t>
  </si>
  <si>
    <t>P.LIQUIDO</t>
  </si>
  <si>
    <t>LOTE</t>
  </si>
  <si>
    <t>P. LIQUIDO</t>
  </si>
  <si>
    <t>CPF/CNPJ:</t>
  </si>
  <si>
    <t>X</t>
  </si>
  <si>
    <t>FATURAMENTO</t>
  </si>
  <si>
    <t xml:space="preserve"> </t>
  </si>
  <si>
    <t>Pedido                                                                                                                                         ALUFORCE LTDA.  RUA ERNESTINA 270 - VILA SÃO JOÃO  - 08537400 -                   FERRAZ DE VASCONCELOS - SP</t>
  </si>
  <si>
    <t>Pedido                                                                                                                                    ALUFORCE LTDA. RUA ERNESTINA 270 - VILA SÃO JOÃO - 08537400 -                    FERAZ DE VASCONCELOS - SP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</si>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</sst>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&lt;=99999999999]000\.000\.000\-00;00\.000\.000\/000000\-00"/>
    <numFmt numFmtId="165" formatCode="\(00\)\ 00000\-0000"/>
    <numFmt numFmtId="166" formatCode="[&lt;=99999999999]000\.000\.000\-00;00\.000\.000\/0000\-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80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3" fillId="0" borderId="3" xfId="0" applyFont="1" applyBorder="1"/>
    <xf numFmtId="0" fontId="0" fillId="0" borderId="3" xfId="0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2" fillId="0" borderId="3" xfId="0" applyFont="1" applyBorder="1"/>
    <xf numFmtId="0" fontId="2" fillId="0" borderId="1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14" fontId="5" fillId="0" borderId="4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2" xfId="0" applyFont="1" applyBorder="1"/>
    <xf numFmtId="0" fontId="0" fillId="0" borderId="7" xfId="0" applyBorder="1"/>
    <xf numFmtId="1" fontId="0" fillId="0" borderId="0" xfId="0" applyNumberFormat="1"/>
    <xf numFmtId="4" fontId="0" fillId="0" borderId="1" xfId="0" applyNumberFormat="1" applyBorder="1"/>
    <xf numFmtId="49" fontId="0" fillId="0" borderId="1" xfId="0" applyNumberFormat="1" applyBorder="1"/>
    <xf numFmtId="0" fontId="3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3" fillId="0" borderId="2" xfId="0" applyNumberFormat="1" applyFont="1" applyBorder="1"/>
    <xf numFmtId="1" fontId="3" fillId="0" borderId="3" xfId="0" applyNumberFormat="1" applyFont="1" applyBorder="1"/>
    <xf numFmtId="1" fontId="3" fillId="0" borderId="1" xfId="0" applyNumberFormat="1" applyFont="1" applyBorder="1"/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/>
    <xf numFmtId="1" fontId="3" fillId="2" borderId="2" xfId="0" applyNumberFormat="1" applyFont="1" applyFill="1" applyBorder="1"/>
    <xf numFmtId="1" fontId="3" fillId="2" borderId="1" xfId="0" applyNumberFormat="1" applyFont="1" applyFill="1" applyBorder="1"/>
    <xf numFmtId="1" fontId="3" fillId="2" borderId="4" xfId="0" applyNumberFormat="1" applyFont="1" applyFill="1" applyBorder="1" applyAlignment="1">
      <alignment horizontal="center"/>
    </xf>
    <xf numFmtId="0" fontId="0" fillId="2" borderId="2" xfId="0" applyFill="1" applyBorder="1"/>
    <xf numFmtId="0" fontId="0" fillId="2" borderId="4" xfId="0" applyFill="1" applyBorder="1"/>
    <xf numFmtId="4" fontId="0" fillId="2" borderId="1" xfId="0" applyNumberFormat="1" applyFill="1" applyBorder="1"/>
    <xf numFmtId="0" fontId="4" fillId="3" borderId="3" xfId="0" applyFont="1" applyFill="1" applyBorder="1" applyAlignment="1">
      <alignment horizontal="center"/>
    </xf>
    <xf numFmtId="14" fontId="5" fillId="3" borderId="4" xfId="0" applyNumberFormat="1" applyFont="1" applyFill="1" applyBorder="1" applyAlignment="1">
      <alignment horizontal="center"/>
    </xf>
    <xf numFmtId="0" fontId="0" fillId="3" borderId="4" xfId="0" applyFill="1" applyBorder="1"/>
    <xf numFmtId="0" fontId="0" fillId="3" borderId="1" xfId="0" applyFill="1" applyBorder="1"/>
    <xf numFmtId="4" fontId="0" fillId="3" borderId="1" xfId="0" applyNumberFormat="1" applyFill="1" applyBorder="1"/>
    <xf numFmtId="9" fontId="0" fillId="3" borderId="1" xfId="2" applyFont="1" applyFill="1" applyBorder="1"/>
    <xf numFmtId="164" fontId="0" fillId="0" borderId="3" xfId="0" applyNumberFormat="1" applyBorder="1" applyAlignment="1">
      <alignment horizontal="center"/>
    </xf>
    <xf numFmtId="0" fontId="0" fillId="2" borderId="1" xfId="0" applyFill="1" applyBorder="1"/>
    <xf numFmtId="3" fontId="0" fillId="3" borderId="1" xfId="0" applyNumberFormat="1" applyFill="1" applyBorder="1"/>
    <xf numFmtId="1" fontId="4" fillId="0" borderId="2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2" fontId="0" fillId="3" borderId="1" xfId="1" applyNumberFormat="1" applyFont="1" applyFill="1" applyBorder="1"/>
    <xf numFmtId="49" fontId="3" fillId="2" borderId="1" xfId="0" applyNumberFormat="1" applyFont="1" applyFill="1" applyBorder="1"/>
    <xf numFmtId="49" fontId="3" fillId="0" borderId="1" xfId="0" applyNumberFormat="1" applyFont="1" applyBorder="1"/>
    <xf numFmtId="2" fontId="0" fillId="0" borderId="13" xfId="1" applyNumberFormat="1" applyFont="1" applyFill="1" applyBorder="1"/>
    <xf numFmtId="0" fontId="12" fillId="0" borderId="3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0" fillId="0" borderId="9" xfId="0" applyBorder="1"/>
    <xf numFmtId="0" fontId="13" fillId="0" borderId="3" xfId="0" applyFont="1" applyBorder="1" applyAlignment="1">
      <alignment horizontal="center"/>
    </xf>
    <xf numFmtId="49" fontId="9" fillId="2" borderId="1" xfId="0" applyNumberFormat="1" applyFont="1" applyFill="1" applyBorder="1"/>
    <xf numFmtId="0" fontId="4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14" fontId="3" fillId="0" borderId="3" xfId="1" applyNumberFormat="1" applyFont="1" applyBorder="1" applyAlignment="1">
      <alignment horizontal="center"/>
    </xf>
    <xf numFmtId="14" fontId="3" fillId="0" borderId="4" xfId="1" applyNumberFormat="1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65" fontId="0" fillId="3" borderId="3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0" fillId="3" borderId="3" xfId="3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6" fontId="2" fillId="3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4" fontId="2" fillId="0" borderId="6" xfId="0" applyNumberFormat="1" applyFont="1" applyBorder="1" applyAlignment="1">
      <alignment horizontal="center"/>
    </xf>
    <xf numFmtId="44" fontId="2" fillId="0" borderId="8" xfId="0" applyNumberFormat="1" applyFont="1" applyBorder="1" applyAlignment="1">
      <alignment horizontal="center"/>
    </xf>
    <xf numFmtId="44" fontId="2" fillId="0" borderId="11" xfId="0" applyNumberFormat="1" applyFont="1" applyBorder="1" applyAlignment="1">
      <alignment horizontal="center"/>
    </xf>
    <xf numFmtId="44" fontId="2" fillId="0" borderId="9" xfId="0" applyNumberFormat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0" fillId="0" borderId="8" xfId="1" applyFont="1" applyBorder="1" applyAlignment="1">
      <alignment horizontal="center"/>
    </xf>
    <xf numFmtId="44" fontId="0" fillId="0" borderId="11" xfId="1" applyFont="1" applyBorder="1" applyAlignment="1">
      <alignment horizontal="center"/>
    </xf>
    <xf numFmtId="44" fontId="0" fillId="0" borderId="9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9" fontId="0" fillId="3" borderId="2" xfId="2" applyFont="1" applyFill="1" applyBorder="1" applyAlignment="1">
      <alignment horizontal="center"/>
    </xf>
    <xf numFmtId="9" fontId="0" fillId="3" borderId="3" xfId="2" applyFont="1" applyFill="1" applyBorder="1" applyAlignment="1">
      <alignment horizontal="center"/>
    </xf>
    <xf numFmtId="9" fontId="0" fillId="3" borderId="4" xfId="2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left"/>
    </xf>
    <xf numFmtId="1" fontId="3" fillId="2" borderId="3" xfId="0" applyNumberFormat="1" applyFont="1" applyFill="1" applyBorder="1" applyAlignment="1">
      <alignment horizontal="left"/>
    </xf>
    <xf numFmtId="1" fontId="3" fillId="2" borderId="4" xfId="0" applyNumberFormat="1" applyFont="1" applyFill="1" applyBorder="1" applyAlignment="1">
      <alignment horizontal="left"/>
    </xf>
    <xf numFmtId="1" fontId="3" fillId="0" borderId="2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1" fontId="14" fillId="2" borderId="2" xfId="0" applyNumberFormat="1" applyFont="1" applyFill="1" applyBorder="1" applyAlignment="1">
      <alignment horizontal="left"/>
    </xf>
    <xf numFmtId="1" fontId="14" fillId="2" borderId="3" xfId="0" applyNumberFormat="1" applyFont="1" applyFill="1" applyBorder="1" applyAlignment="1">
      <alignment horizontal="left"/>
    </xf>
    <xf numFmtId="1" fontId="14" fillId="2" borderId="4" xfId="0" applyNumberFormat="1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left"/>
    </xf>
    <xf numFmtId="1" fontId="9" fillId="2" borderId="2" xfId="0" applyNumberFormat="1" applyFont="1" applyFill="1" applyBorder="1" applyAlignment="1">
      <alignment horizontal="left"/>
    </xf>
    <xf numFmtId="1" fontId="9" fillId="2" borderId="3" xfId="0" applyNumberFormat="1" applyFont="1" applyFill="1" applyBorder="1" applyAlignment="1">
      <alignment horizontal="left"/>
    </xf>
    <xf numFmtId="1" fontId="9" fillId="2" borderId="4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2" borderId="8" xfId="0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0</xdr:rowOff>
    </xdr:from>
    <xdr:to>
      <xdr:col>4</xdr:col>
      <xdr:colOff>45620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126DA8-16E4-4DF2-86E2-200B8AC98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2975" y="0"/>
          <a:ext cx="1264820" cy="828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0</xdr:row>
      <xdr:rowOff>0</xdr:rowOff>
    </xdr:from>
    <xdr:to>
      <xdr:col>3</xdr:col>
      <xdr:colOff>464720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0D4192-9B24-4AEE-BD0F-1EF7A7887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0" y="0"/>
          <a:ext cx="1264820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2464-5C4A-4767-887B-1178AF8CE2C1}">
  <sheetPr codeName="Planilha1"/>
  <dimension ref="A1:J54"/>
  <sheetViews>
    <sheetView topLeftCell="A18" zoomScaleNormal="100" workbookViewId="0">
      <selection activeCell="D57" sqref="D57"/>
    </sheetView>
  </sheetViews>
  <sheetFormatPr defaultRowHeight="15" x14ac:dyDescent="0.25"/>
  <cols>
    <col min="1" max="1" width="3.42578125" customWidth="1"/>
    <col min="2" max="2" width="9.140625" customWidth="1"/>
    <col min="3" max="3" width="8.85546875" customWidth="1"/>
    <col min="4" max="4" width="11" customWidth="1"/>
    <col min="5" max="5" width="16" customWidth="1"/>
    <col min="6" max="6" width="9.28515625" customWidth="1"/>
    <col min="7" max="7" width="11.7109375" customWidth="1"/>
    <col min="8" max="8" width="10.5703125" customWidth="1"/>
    <col min="9" max="9" width="8.85546875" customWidth="1"/>
    <col min="10" max="10" width="11" customWidth="1"/>
    <col min="11" max="12" width="9.140625" customWidth="1"/>
    <col min="13" max="13" width="15.28515625" bestFit="1" customWidth="1"/>
    <col min="14" max="14" width="12" bestFit="1" customWidth="1"/>
    <col min="15" max="15" width="59.28515625" bestFit="1" customWidth="1"/>
    <col min="16" max="16" width="21.7109375" bestFit="1" customWidth="1"/>
    <col min="17" max="17" width="5.5703125" bestFit="1" customWidth="1"/>
    <col min="18" max="37" width="9.140625" customWidth="1"/>
    <col min="38" max="38" width="2" customWidth="1"/>
  </cols>
  <sheetData>
    <row r="1" spans="1:10" x14ac:dyDescent="0.25">
      <c r="A1" s="74"/>
      <c r="B1" s="75"/>
      <c r="C1" s="78"/>
      <c r="D1" s="78"/>
      <c r="E1" s="71" t="s">
        <v>50</v>
      </c>
      <c r="F1" s="71"/>
      <c r="G1" s="71"/>
      <c r="H1" s="71"/>
      <c r="I1" s="71"/>
      <c r="J1" s="71"/>
    </row>
    <row r="2" spans="1:10" ht="15.75" thickBot="1" x14ac:dyDescent="0.3">
      <c r="A2" s="76"/>
      <c r="B2" s="77"/>
      <c r="C2" s="78"/>
      <c r="D2" s="78"/>
      <c r="E2" s="71"/>
      <c r="F2" s="71"/>
      <c r="G2" s="71"/>
      <c r="H2" s="71"/>
      <c r="I2" s="71"/>
      <c r="J2" s="71"/>
    </row>
    <row r="3" spans="1:10" ht="34.5" customHeight="1" thickBot="1" x14ac:dyDescent="0.3">
      <c r="A3" s="79"/>
      <c r="B3" s="80"/>
      <c r="C3" s="81"/>
      <c r="D3" s="82"/>
      <c r="E3" s="71"/>
      <c r="F3" s="71"/>
      <c r="G3" s="71"/>
      <c r="H3" s="71"/>
      <c r="I3" s="71"/>
      <c r="J3" s="71"/>
    </row>
    <row r="4" spans="1:10" ht="15.75" thickBot="1" x14ac:dyDescent="0.3">
      <c r="A4" s="83" t="s">
        <v>0</v>
      </c>
      <c r="B4" s="84"/>
      <c r="C4" s="46"/>
      <c r="D4" s="22" t="s">
        <v>1</v>
      </c>
      <c r="E4" s="21"/>
      <c r="F4" s="22" t="s">
        <v>2</v>
      </c>
      <c r="G4" s="46"/>
      <c r="H4" s="70" t="s">
        <v>3</v>
      </c>
      <c r="I4" s="70"/>
      <c r="J4" s="47"/>
    </row>
    <row r="5" spans="1:10" ht="6" customHeight="1" thickBot="1" x14ac:dyDescent="0.3">
      <c r="A5" s="24"/>
      <c r="B5" s="25"/>
      <c r="C5" s="25"/>
      <c r="D5" s="25"/>
      <c r="E5" s="25"/>
      <c r="F5" s="25"/>
      <c r="G5" s="25"/>
      <c r="H5" s="25"/>
      <c r="I5" s="25"/>
      <c r="J5" s="25"/>
    </row>
    <row r="6" spans="1:10" ht="15.75" thickBot="1" x14ac:dyDescent="0.3">
      <c r="A6" s="83" t="s">
        <v>4</v>
      </c>
      <c r="B6" s="84"/>
      <c r="C6" s="102"/>
      <c r="D6" s="102"/>
      <c r="E6" s="102"/>
      <c r="F6" s="70" t="s">
        <v>6</v>
      </c>
      <c r="G6" s="70"/>
      <c r="H6" s="72"/>
      <c r="I6" s="72"/>
      <c r="J6" s="73"/>
    </row>
    <row r="7" spans="1:10" ht="15.75" thickBot="1" x14ac:dyDescent="0.3">
      <c r="A7" s="83" t="s">
        <v>7</v>
      </c>
      <c r="B7" s="84"/>
      <c r="C7" s="85"/>
      <c r="D7" s="85"/>
      <c r="E7" s="85"/>
      <c r="F7" s="85"/>
      <c r="G7" s="85"/>
      <c r="H7" s="85"/>
      <c r="I7" s="85"/>
      <c r="J7" s="86"/>
    </row>
    <row r="8" spans="1:10" ht="15.75" thickBot="1" x14ac:dyDescent="0.3">
      <c r="A8" s="96" t="s">
        <v>8</v>
      </c>
      <c r="B8" s="97"/>
      <c r="C8" s="87"/>
      <c r="D8" s="87"/>
      <c r="E8" s="87"/>
      <c r="F8" s="87"/>
      <c r="G8" s="11" t="s">
        <v>9</v>
      </c>
      <c r="H8" s="88"/>
      <c r="I8" s="88"/>
      <c r="J8" s="89"/>
    </row>
    <row r="9" spans="1:10" ht="15.75" thickBot="1" x14ac:dyDescent="0.3">
      <c r="A9" s="96" t="s">
        <v>5</v>
      </c>
      <c r="B9" s="97"/>
      <c r="C9" s="92"/>
      <c r="D9" s="93"/>
      <c r="E9" s="93"/>
      <c r="F9" s="93"/>
      <c r="G9" s="93"/>
      <c r="H9" s="95" t="s">
        <v>12</v>
      </c>
      <c r="I9" s="95"/>
      <c r="J9" s="48" t="s">
        <v>13</v>
      </c>
    </row>
    <row r="10" spans="1:10" ht="6" customHeight="1" thickBot="1" x14ac:dyDescent="0.3">
      <c r="A10" s="15"/>
      <c r="B10" s="6"/>
      <c r="C10" s="4"/>
      <c r="D10" s="4"/>
      <c r="E10" s="4"/>
      <c r="F10" s="4"/>
      <c r="G10" s="4"/>
      <c r="H10" s="1"/>
      <c r="I10" s="1"/>
      <c r="J10" s="2"/>
    </row>
    <row r="11" spans="1:10" ht="15.75" thickBot="1" x14ac:dyDescent="0.3">
      <c r="A11" s="98" t="s">
        <v>16</v>
      </c>
      <c r="B11" s="95"/>
      <c r="C11" s="95"/>
      <c r="D11" s="95"/>
      <c r="E11" s="95"/>
      <c r="F11" s="95"/>
      <c r="G11" s="95"/>
      <c r="H11" s="95"/>
      <c r="I11" s="95"/>
      <c r="J11" s="99"/>
    </row>
    <row r="12" spans="1:10" ht="15.75" thickBot="1" x14ac:dyDescent="0.3">
      <c r="A12" s="96" t="s">
        <v>20</v>
      </c>
      <c r="B12" s="97"/>
      <c r="C12" s="102"/>
      <c r="D12" s="102"/>
      <c r="E12" s="102"/>
      <c r="F12" s="102"/>
      <c r="G12" s="13" t="s">
        <v>9</v>
      </c>
      <c r="H12" s="88"/>
      <c r="I12" s="88"/>
      <c r="J12" s="89"/>
    </row>
    <row r="13" spans="1:10" ht="15.75" thickBot="1" x14ac:dyDescent="0.3">
      <c r="A13" s="96" t="s">
        <v>10</v>
      </c>
      <c r="B13" s="97"/>
      <c r="C13" s="94"/>
      <c r="D13" s="94"/>
      <c r="E13" s="11" t="s">
        <v>11</v>
      </c>
      <c r="F13" s="90"/>
      <c r="G13" s="90"/>
      <c r="H13" s="90"/>
      <c r="I13" s="90"/>
      <c r="J13" s="91"/>
    </row>
    <row r="14" spans="1:10" ht="15.75" thickBot="1" x14ac:dyDescent="0.3">
      <c r="A14" s="26" t="s">
        <v>14</v>
      </c>
      <c r="B14" s="22"/>
      <c r="C14" s="22"/>
      <c r="D14" s="95" t="s">
        <v>49</v>
      </c>
      <c r="E14" s="95"/>
      <c r="F14" s="95"/>
      <c r="G14" s="95"/>
      <c r="H14" s="95"/>
      <c r="I14" s="95"/>
      <c r="J14" s="99"/>
    </row>
    <row r="15" spans="1:10" ht="15.75" thickBot="1" x14ac:dyDescent="0.3">
      <c r="A15" s="83" t="s">
        <v>46</v>
      </c>
      <c r="B15" s="84"/>
      <c r="C15" s="100"/>
      <c r="D15" s="100"/>
      <c r="E15" s="100"/>
      <c r="F15" s="22" t="s">
        <v>15</v>
      </c>
      <c r="G15" s="92">
        <f>C9</f>
        <v>0</v>
      </c>
      <c r="H15" s="94"/>
      <c r="I15" s="94"/>
      <c r="J15" s="101"/>
    </row>
    <row r="16" spans="1:10" ht="6" customHeight="1" thickBot="1" x14ac:dyDescent="0.3">
      <c r="A16" s="7"/>
      <c r="B16" s="8"/>
      <c r="C16" s="52"/>
      <c r="D16" s="4"/>
      <c r="E16" s="4"/>
      <c r="F16" s="5"/>
      <c r="G16" s="13"/>
      <c r="H16" s="13"/>
      <c r="I16" s="13"/>
      <c r="J16" s="14"/>
    </row>
    <row r="17" spans="1:10" ht="24" customHeight="1" thickBot="1" x14ac:dyDescent="0.3">
      <c r="A17" s="9"/>
      <c r="B17" s="12" t="s">
        <v>21</v>
      </c>
      <c r="C17" s="96" t="s">
        <v>17</v>
      </c>
      <c r="D17" s="97"/>
      <c r="E17" s="103"/>
      <c r="F17" s="16" t="s">
        <v>23</v>
      </c>
      <c r="G17" s="18" t="s">
        <v>18</v>
      </c>
      <c r="H17" s="20" t="s">
        <v>24</v>
      </c>
      <c r="I17" s="19" t="s">
        <v>22</v>
      </c>
      <c r="J17" s="19" t="s">
        <v>19</v>
      </c>
    </row>
    <row r="18" spans="1:10" ht="15.95" customHeight="1" thickBot="1" x14ac:dyDescent="0.3">
      <c r="A18" s="10">
        <v>1</v>
      </c>
      <c r="B18" s="49"/>
      <c r="C18" s="104" t="str">
        <f>IFERROR(VLOOKUP(B18:B32,N176:O198,2,0),"")</f>
        <v/>
      </c>
      <c r="D18" s="105"/>
      <c r="E18" s="106"/>
      <c r="F18" s="49"/>
      <c r="G18" s="54"/>
      <c r="H18" s="50"/>
      <c r="I18" s="57"/>
      <c r="J18" s="29">
        <f>I18*H18</f>
        <v>0</v>
      </c>
    </row>
    <row r="19" spans="1:10" ht="15.95" customHeight="1" thickBot="1" x14ac:dyDescent="0.3">
      <c r="A19" s="10">
        <v>2</v>
      </c>
      <c r="B19" s="49"/>
      <c r="C19" s="104" t="str">
        <f>IFERROR(VLOOKUP(B18:B32,N176:O199,2,0),"")</f>
        <v/>
      </c>
      <c r="D19" s="105"/>
      <c r="E19" s="106"/>
      <c r="F19" s="49"/>
      <c r="G19" s="54"/>
      <c r="H19" s="50"/>
      <c r="I19" s="57"/>
      <c r="J19" s="29">
        <f t="shared" ref="J19:J32" si="0">I19*H19</f>
        <v>0</v>
      </c>
    </row>
    <row r="20" spans="1:10" ht="15.95" customHeight="1" thickBot="1" x14ac:dyDescent="0.3">
      <c r="A20" s="10">
        <v>3</v>
      </c>
      <c r="B20" s="49" t="s">
        <v>52</v>
      </c>
      <c r="C20" s="104" t="str">
        <f>IFERROR(VLOOKUP(B18:B32,N176:O200,2,0),"")</f>
        <v/>
      </c>
      <c r="D20" s="105"/>
      <c r="E20" s="106"/>
      <c r="F20" s="49"/>
      <c r="G20" s="54"/>
      <c r="H20" s="50"/>
      <c r="I20" s="57"/>
      <c r="J20" s="29">
        <f t="shared" si="0"/>
        <v>0</v>
      </c>
    </row>
    <row r="21" spans="1:10" ht="15.95" customHeight="1" thickBot="1" x14ac:dyDescent="0.3">
      <c r="A21" s="10">
        <v>4</v>
      </c>
      <c r="B21" s="49"/>
      <c r="C21" s="104" t="str">
        <f>IFERROR(VLOOKUP(B18:B32,N176:O201,2,0),"")</f>
        <v/>
      </c>
      <c r="D21" s="105"/>
      <c r="E21" s="106"/>
      <c r="F21" s="49"/>
      <c r="G21" s="54"/>
      <c r="H21" s="50"/>
      <c r="I21" s="57"/>
      <c r="J21" s="29">
        <f t="shared" si="0"/>
        <v>0</v>
      </c>
    </row>
    <row r="22" spans="1:10" ht="15.95" customHeight="1" thickBot="1" x14ac:dyDescent="0.3">
      <c r="A22" s="10">
        <v>5</v>
      </c>
      <c r="B22" s="49"/>
      <c r="C22" s="104" t="str">
        <f>IFERROR(VLOOKUP(B18:B32,N176:O202,2,0),"")</f>
        <v/>
      </c>
      <c r="D22" s="105"/>
      <c r="E22" s="106"/>
      <c r="F22" s="49"/>
      <c r="G22" s="54"/>
      <c r="H22" s="50"/>
      <c r="I22" s="57"/>
      <c r="J22" s="29">
        <f t="shared" si="0"/>
        <v>0</v>
      </c>
    </row>
    <row r="23" spans="1:10" ht="15.95" customHeight="1" thickBot="1" x14ac:dyDescent="0.3">
      <c r="A23" s="10">
        <v>6</v>
      </c>
      <c r="B23" s="49"/>
      <c r="C23" s="104" t="str">
        <f>IFERROR(VLOOKUP(B18:B32,N176:O199,2,0),"")</f>
        <v/>
      </c>
      <c r="D23" s="105"/>
      <c r="E23" s="106"/>
      <c r="F23" s="49"/>
      <c r="G23" s="54"/>
      <c r="H23" s="50"/>
      <c r="I23" s="57"/>
      <c r="J23" s="29">
        <f t="shared" si="0"/>
        <v>0</v>
      </c>
    </row>
    <row r="24" spans="1:10" ht="15.95" customHeight="1" thickBot="1" x14ac:dyDescent="0.3">
      <c r="A24" s="10">
        <v>7</v>
      </c>
      <c r="B24" s="49"/>
      <c r="C24" s="104" t="str">
        <f>IFERROR(VLOOKUP(B24:B38,N176:O204,2,0),"")</f>
        <v/>
      </c>
      <c r="D24" s="105"/>
      <c r="E24" s="106"/>
      <c r="F24" s="49"/>
      <c r="G24" s="54"/>
      <c r="H24" s="50"/>
      <c r="I24" s="57"/>
      <c r="J24" s="29">
        <f t="shared" si="0"/>
        <v>0</v>
      </c>
    </row>
    <row r="25" spans="1:10" ht="15.95" customHeight="1" thickBot="1" x14ac:dyDescent="0.3">
      <c r="A25" s="10">
        <v>8</v>
      </c>
      <c r="B25" s="49"/>
      <c r="C25" s="104" t="str">
        <f>IFERROR(VLOOKUP(B18:B32,N176:O198,2,0),"")</f>
        <v/>
      </c>
      <c r="D25" s="105"/>
      <c r="E25" s="106"/>
      <c r="F25" s="49"/>
      <c r="G25" s="54"/>
      <c r="H25" s="50"/>
      <c r="I25" s="57"/>
      <c r="J25" s="29">
        <f t="shared" si="0"/>
        <v>0</v>
      </c>
    </row>
    <row r="26" spans="1:10" ht="15.95" customHeight="1" thickBot="1" x14ac:dyDescent="0.3">
      <c r="A26" s="10">
        <v>9</v>
      </c>
      <c r="B26" s="49"/>
      <c r="C26" s="104" t="str">
        <f>IFERROR(VLOOKUP(B18:B32,N176:O198,2,0),"")</f>
        <v/>
      </c>
      <c r="D26" s="105"/>
      <c r="E26" s="106"/>
      <c r="F26" s="49"/>
      <c r="G26" s="54"/>
      <c r="H26" s="50"/>
      <c r="I26" s="57"/>
      <c r="J26" s="29">
        <f t="shared" si="0"/>
        <v>0</v>
      </c>
    </row>
    <row r="27" spans="1:10" ht="15.95" customHeight="1" thickBot="1" x14ac:dyDescent="0.3">
      <c r="A27" s="10">
        <v>10</v>
      </c>
      <c r="B27" s="49"/>
      <c r="C27" s="104" t="str">
        <f>IFERROR(VLOOKUP(B18:B32,N176:O207,2,0),"")</f>
        <v/>
      </c>
      <c r="D27" s="105"/>
      <c r="E27" s="106"/>
      <c r="F27" s="49"/>
      <c r="G27" s="54"/>
      <c r="H27" s="50"/>
      <c r="I27" s="57"/>
      <c r="J27" s="29">
        <f t="shared" si="0"/>
        <v>0</v>
      </c>
    </row>
    <row r="28" spans="1:10" ht="15.75" thickBot="1" x14ac:dyDescent="0.3">
      <c r="A28" s="10">
        <v>11</v>
      </c>
      <c r="B28" s="49"/>
      <c r="C28" s="104" t="str">
        <f>IFERROR(VLOOKUP(B18:B32,N176:O199,2,0),"")</f>
        <v/>
      </c>
      <c r="D28" s="105"/>
      <c r="E28" s="106"/>
      <c r="F28" s="49"/>
      <c r="G28" s="54"/>
      <c r="H28" s="50"/>
      <c r="I28" s="57"/>
      <c r="J28" s="29">
        <f t="shared" si="0"/>
        <v>0</v>
      </c>
    </row>
    <row r="29" spans="1:10" ht="15.75" thickBot="1" x14ac:dyDescent="0.3">
      <c r="A29" s="10">
        <v>12</v>
      </c>
      <c r="B29" s="49"/>
      <c r="C29" s="104" t="str">
        <f>IFERROR(VLOOKUP(B18:B32,N176:O198,2,0),"")</f>
        <v/>
      </c>
      <c r="D29" s="105"/>
      <c r="E29" s="106"/>
      <c r="F29" s="49"/>
      <c r="G29" s="54"/>
      <c r="H29" s="50"/>
      <c r="I29" s="57"/>
      <c r="J29" s="29">
        <f t="shared" si="0"/>
        <v>0</v>
      </c>
    </row>
    <row r="30" spans="1:10" ht="15.75" thickBot="1" x14ac:dyDescent="0.3">
      <c r="A30" s="10">
        <v>13</v>
      </c>
      <c r="B30" s="49"/>
      <c r="C30" s="104" t="str">
        <f>IFERROR(VLOOKUP(B18:B32,N176:O199,2,0),"")</f>
        <v/>
      </c>
      <c r="D30" s="105"/>
      <c r="E30" s="106"/>
      <c r="F30" s="49"/>
      <c r="G30" s="54"/>
      <c r="H30" s="50"/>
      <c r="I30" s="57"/>
      <c r="J30" s="29">
        <f t="shared" si="0"/>
        <v>0</v>
      </c>
    </row>
    <row r="31" spans="1:10" ht="15.75" thickBot="1" x14ac:dyDescent="0.3">
      <c r="A31" s="10">
        <v>14</v>
      </c>
      <c r="B31" s="49"/>
      <c r="C31" s="104" t="str">
        <f>IFERROR(VLOOKUP(B18:B32,N176:O199,2,0),"")</f>
        <v/>
      </c>
      <c r="D31" s="105"/>
      <c r="E31" s="106"/>
      <c r="F31" s="49"/>
      <c r="G31" s="54"/>
      <c r="H31" s="50"/>
      <c r="I31" s="57"/>
      <c r="J31" s="29">
        <f t="shared" si="0"/>
        <v>0</v>
      </c>
    </row>
    <row r="32" spans="1:10" ht="15.75" thickBot="1" x14ac:dyDescent="0.3">
      <c r="A32" s="10">
        <v>15</v>
      </c>
      <c r="B32" s="49"/>
      <c r="C32" s="104" t="str">
        <f>IFERROR(VLOOKUP(B18:B32,N176:O199,2,0),"")</f>
        <v/>
      </c>
      <c r="D32" s="105"/>
      <c r="E32" s="106"/>
      <c r="F32" s="49"/>
      <c r="G32" s="54"/>
      <c r="H32" s="50"/>
      <c r="I32" s="57"/>
      <c r="J32" s="29">
        <f t="shared" si="0"/>
        <v>0</v>
      </c>
    </row>
    <row r="33" spans="1:10" ht="10.5" customHeight="1" thickBot="1" x14ac:dyDescent="0.3">
      <c r="C33" s="28"/>
      <c r="D33" s="28"/>
      <c r="E33" s="28"/>
      <c r="I33" s="60"/>
    </row>
    <row r="34" spans="1:10" ht="15.75" thickBot="1" x14ac:dyDescent="0.3">
      <c r="I34" s="98" t="s">
        <v>31</v>
      </c>
      <c r="J34" s="99"/>
    </row>
    <row r="35" spans="1:10" ht="15.75" thickBot="1" x14ac:dyDescent="0.3">
      <c r="A35" s="27"/>
      <c r="B35" s="27"/>
      <c r="C35" s="27"/>
      <c r="D35" s="27"/>
      <c r="E35" s="27"/>
      <c r="F35" s="27"/>
      <c r="G35" s="27"/>
      <c r="H35" s="27"/>
      <c r="I35" s="111">
        <f>SUM(J18:J32)</f>
        <v>0</v>
      </c>
      <c r="J35" s="112"/>
    </row>
    <row r="36" spans="1:10" ht="15.75" thickBot="1" x14ac:dyDescent="0.3">
      <c r="A36" s="115" t="s">
        <v>26</v>
      </c>
      <c r="B36" s="116"/>
      <c r="C36" s="116"/>
      <c r="D36" s="116"/>
      <c r="E36" s="116"/>
      <c r="F36" s="116"/>
      <c r="G36" s="116"/>
      <c r="H36" s="117"/>
      <c r="I36" s="113"/>
      <c r="J36" s="114"/>
    </row>
    <row r="37" spans="1:10" x14ac:dyDescent="0.25">
      <c r="A37" s="133"/>
      <c r="B37" s="134"/>
      <c r="C37" s="134"/>
      <c r="D37" s="134"/>
      <c r="E37" s="134"/>
      <c r="F37" s="134"/>
      <c r="G37" s="134"/>
      <c r="H37" s="134"/>
      <c r="I37" s="134"/>
      <c r="J37" s="135"/>
    </row>
    <row r="38" spans="1:10" x14ac:dyDescent="0.25">
      <c r="A38" s="136"/>
      <c r="B38" s="137"/>
      <c r="C38" s="137"/>
      <c r="D38" s="137"/>
      <c r="E38" s="137"/>
      <c r="F38" s="137"/>
      <c r="G38" s="137"/>
      <c r="H38" s="137"/>
      <c r="I38" s="137"/>
      <c r="J38" s="138"/>
    </row>
    <row r="39" spans="1:10" x14ac:dyDescent="0.25">
      <c r="A39" s="136"/>
      <c r="B39" s="137"/>
      <c r="C39" s="137"/>
      <c r="D39" s="137"/>
      <c r="E39" s="137"/>
      <c r="F39" s="137"/>
      <c r="G39" s="137"/>
      <c r="H39" s="137"/>
      <c r="I39" s="137"/>
      <c r="J39" s="138"/>
    </row>
    <row r="40" spans="1:10" x14ac:dyDescent="0.25">
      <c r="A40" s="136"/>
      <c r="B40" s="137"/>
      <c r="C40" s="137"/>
      <c r="D40" s="137"/>
      <c r="E40" s="137"/>
      <c r="F40" s="137"/>
      <c r="G40" s="137"/>
      <c r="H40" s="137"/>
      <c r="I40" s="137"/>
      <c r="J40" s="138"/>
    </row>
    <row r="41" spans="1:10" x14ac:dyDescent="0.25">
      <c r="A41" s="136"/>
      <c r="B41" s="137"/>
      <c r="C41" s="137"/>
      <c r="D41" s="137"/>
      <c r="E41" s="137"/>
      <c r="F41" s="137"/>
      <c r="G41" s="137"/>
      <c r="H41" s="137"/>
      <c r="I41" s="137"/>
      <c r="J41" s="138"/>
    </row>
    <row r="42" spans="1:10" ht="15.75" thickBot="1" x14ac:dyDescent="0.3">
      <c r="A42" s="139"/>
      <c r="B42" s="140"/>
      <c r="C42" s="140"/>
      <c r="D42" s="140"/>
      <c r="E42" s="140"/>
      <c r="F42" s="140"/>
      <c r="G42" s="140"/>
      <c r="H42" s="140"/>
      <c r="I42" s="140"/>
      <c r="J42" s="141"/>
    </row>
    <row r="43" spans="1:10" ht="15.75" thickBot="1" x14ac:dyDescent="0.3">
      <c r="A43" s="98" t="s">
        <v>25</v>
      </c>
      <c r="B43" s="95"/>
      <c r="C43" s="95"/>
      <c r="D43" s="95"/>
      <c r="E43" s="95"/>
      <c r="F43" s="95"/>
      <c r="G43" s="95"/>
      <c r="H43" s="95"/>
      <c r="I43" s="95"/>
      <c r="J43" s="99"/>
    </row>
    <row r="44" spans="1:10" ht="15.75" thickBot="1" x14ac:dyDescent="0.3">
      <c r="A44" s="98" t="s">
        <v>32</v>
      </c>
      <c r="B44" s="95"/>
      <c r="C44" s="95"/>
      <c r="D44" s="99"/>
      <c r="E44" s="17" t="s">
        <v>30</v>
      </c>
      <c r="F44" s="98" t="s">
        <v>27</v>
      </c>
      <c r="G44" s="95"/>
      <c r="H44" s="99"/>
      <c r="I44" s="98" t="s">
        <v>28</v>
      </c>
      <c r="J44" s="99"/>
    </row>
    <row r="45" spans="1:10" ht="15.75" thickBot="1" x14ac:dyDescent="0.3">
      <c r="A45" s="142" t="s">
        <v>29</v>
      </c>
      <c r="B45" s="143"/>
      <c r="C45" s="143"/>
      <c r="D45" s="144"/>
      <c r="E45" s="51">
        <v>1</v>
      </c>
      <c r="F45" s="131" t="s">
        <v>48</v>
      </c>
      <c r="G45" s="93"/>
      <c r="H45" s="132"/>
      <c r="I45" s="107">
        <f>I35</f>
        <v>0</v>
      </c>
      <c r="J45" s="108"/>
    </row>
    <row r="46" spans="1:10" ht="15.75" thickBot="1" x14ac:dyDescent="0.3">
      <c r="A46" s="128" t="s">
        <v>40</v>
      </c>
      <c r="B46" s="129"/>
      <c r="C46" s="129"/>
      <c r="D46" s="130"/>
      <c r="E46" s="51">
        <f>100%-E45</f>
        <v>0</v>
      </c>
      <c r="F46" s="131"/>
      <c r="G46" s="93"/>
      <c r="H46" s="132"/>
      <c r="I46" s="109"/>
      <c r="J46" s="110"/>
    </row>
    <row r="48" spans="1:10" x14ac:dyDescent="0.25">
      <c r="A48" s="126" t="s">
        <v>33</v>
      </c>
      <c r="B48" s="126"/>
      <c r="C48" s="126"/>
      <c r="D48" s="78" t="s">
        <v>35</v>
      </c>
      <c r="E48" s="78"/>
      <c r="F48" s="126" t="s">
        <v>34</v>
      </c>
      <c r="G48" s="126"/>
      <c r="H48" s="78" t="s">
        <v>36</v>
      </c>
      <c r="I48" s="78"/>
      <c r="J48" s="78"/>
    </row>
    <row r="49" spans="2:10" ht="15.75" thickBot="1" x14ac:dyDescent="0.3"/>
    <row r="50" spans="2:10" ht="15.75" thickBot="1" x14ac:dyDescent="0.3">
      <c r="E50" s="98" t="s">
        <v>39</v>
      </c>
      <c r="F50" s="95"/>
      <c r="G50" s="95"/>
      <c r="H50" s="95"/>
      <c r="I50" s="95"/>
      <c r="J50" s="99"/>
    </row>
    <row r="51" spans="2:10" ht="15.75" thickBot="1" x14ac:dyDescent="0.3">
      <c r="B51" s="3"/>
      <c r="C51" s="127" t="s">
        <v>37</v>
      </c>
      <c r="D51" s="126"/>
      <c r="E51" s="118"/>
      <c r="F51" s="119"/>
      <c r="G51" s="119"/>
      <c r="H51" s="119"/>
      <c r="I51" s="119"/>
      <c r="J51" s="120"/>
    </row>
    <row r="52" spans="2:10" ht="15.75" thickBot="1" x14ac:dyDescent="0.3">
      <c r="E52" s="121"/>
      <c r="F52" s="71"/>
      <c r="G52" s="71"/>
      <c r="H52" s="71"/>
      <c r="I52" s="71"/>
      <c r="J52" s="122"/>
    </row>
    <row r="53" spans="2:10" ht="15.75" thickBot="1" x14ac:dyDescent="0.3">
      <c r="B53" s="3"/>
      <c r="C53" s="127" t="s">
        <v>38</v>
      </c>
      <c r="D53" s="126"/>
      <c r="E53" s="121"/>
      <c r="F53" s="71"/>
      <c r="G53" s="71"/>
      <c r="H53" s="71"/>
      <c r="I53" s="71"/>
      <c r="J53" s="122"/>
    </row>
    <row r="54" spans="2:10" ht="15.75" thickBot="1" x14ac:dyDescent="0.3">
      <c r="E54" s="123"/>
      <c r="F54" s="124"/>
      <c r="G54" s="124"/>
      <c r="H54" s="124"/>
      <c r="I54" s="124"/>
      <c r="J54" s="125"/>
    </row>
  </sheetData>
  <mergeCells count="67">
    <mergeCell ref="E50:J50"/>
    <mergeCell ref="E51:J54"/>
    <mergeCell ref="C6:E6"/>
    <mergeCell ref="A48:C48"/>
    <mergeCell ref="F48:G48"/>
    <mergeCell ref="D48:E48"/>
    <mergeCell ref="H48:J48"/>
    <mergeCell ref="C51:D51"/>
    <mergeCell ref="C53:D53"/>
    <mergeCell ref="A46:D46"/>
    <mergeCell ref="F44:H44"/>
    <mergeCell ref="F45:H45"/>
    <mergeCell ref="F46:H46"/>
    <mergeCell ref="A44:D44"/>
    <mergeCell ref="A37:J42"/>
    <mergeCell ref="A45:D45"/>
    <mergeCell ref="I45:J46"/>
    <mergeCell ref="C32:E32"/>
    <mergeCell ref="I34:J34"/>
    <mergeCell ref="I35:J36"/>
    <mergeCell ref="A36:H36"/>
    <mergeCell ref="A43:J43"/>
    <mergeCell ref="C17:E17"/>
    <mergeCell ref="C28:E28"/>
    <mergeCell ref="C29:E29"/>
    <mergeCell ref="C30:E30"/>
    <mergeCell ref="I44:J44"/>
    <mergeCell ref="C23:E23"/>
    <mergeCell ref="C24:E24"/>
    <mergeCell ref="C25:E25"/>
    <mergeCell ref="C31:E31"/>
    <mergeCell ref="C18:E18"/>
    <mergeCell ref="C19:E19"/>
    <mergeCell ref="C20:E20"/>
    <mergeCell ref="C21:E21"/>
    <mergeCell ref="C22:E22"/>
    <mergeCell ref="C26:E26"/>
    <mergeCell ref="C27:E27"/>
    <mergeCell ref="A15:B15"/>
    <mergeCell ref="A11:J11"/>
    <mergeCell ref="C15:E15"/>
    <mergeCell ref="G15:J15"/>
    <mergeCell ref="D14:J14"/>
    <mergeCell ref="C12:F12"/>
    <mergeCell ref="H12:J12"/>
    <mergeCell ref="A7:B7"/>
    <mergeCell ref="A8:B8"/>
    <mergeCell ref="A9:B9"/>
    <mergeCell ref="A12:B12"/>
    <mergeCell ref="A13:B13"/>
    <mergeCell ref="C7:J7"/>
    <mergeCell ref="C8:F8"/>
    <mergeCell ref="H8:J8"/>
    <mergeCell ref="F13:J13"/>
    <mergeCell ref="C9:G9"/>
    <mergeCell ref="C13:D13"/>
    <mergeCell ref="H9:I9"/>
    <mergeCell ref="H4:I4"/>
    <mergeCell ref="E1:J3"/>
    <mergeCell ref="F6:G6"/>
    <mergeCell ref="H6:J6"/>
    <mergeCell ref="A1:B2"/>
    <mergeCell ref="C1:D2"/>
    <mergeCell ref="A3:B3"/>
    <mergeCell ref="C3:D3"/>
    <mergeCell ref="A4:B4"/>
    <mergeCell ref="A6:B6"/>
  </mergeCells>
  <phoneticPr fontId="11" type="noConversion"/>
  <dataValidations count="6">
    <dataValidation type="list" allowBlank="1" showInputMessage="1" showErrorMessage="1" sqref="J9:J10" xr:uid="{F58EE942-046D-477B-9B3E-21C722819741}">
      <formula1>#REF!</formula1>
    </dataValidation>
    <dataValidation type="list" allowBlank="1" showInputMessage="1" showErrorMessage="1" sqref="A45:D46" xr:uid="{7299EE4E-DE68-4E0D-9139-46CC76936E48}">
      <formula1>#REF!</formula1>
    </dataValidation>
    <dataValidation type="list" allowBlank="1" showInputMessage="1" showErrorMessage="1" sqref="F45:F46" xr:uid="{D1E1E2E1-4203-4BD9-B2EF-2A6F1C41CFF6}">
      <formula1>#REF!</formula1>
    </dataValidation>
    <dataValidation type="list" allowBlank="1" showInputMessage="1" showErrorMessage="1" sqref="E45" xr:uid="{9B5CEB78-1550-414B-86DD-1D3B5ECCBA1D}">
      <formula1>#REF!</formula1>
    </dataValidation>
    <dataValidation type="list" allowBlank="1" showInputMessage="1" showErrorMessage="1" sqref="F18:F32" xr:uid="{87D4E1F5-409F-4C9C-8147-AF0B1BB3EF5C}">
      <formula1>#REF!</formula1>
    </dataValidation>
    <dataValidation type="list" allowBlank="1" showInputMessage="1" showErrorMessage="1" sqref="C6:E6" xr:uid="{58826533-4812-4FFF-9442-4B705EBFE18A}">
      <formula1>#REF!</formula1>
    </dataValidation>
  </dataValidations>
  <pageMargins left="0.19685039370078741" right="0.19685039370078741" top="0" bottom="0.15748031496062992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2A52-D02A-43F9-9677-799D011A5150}">
  <sheetPr codeName="Planilha2"/>
  <dimension ref="A1:AB64"/>
  <sheetViews>
    <sheetView tabSelected="1" topLeftCell="A6" zoomScaleNormal="100" workbookViewId="0">
      <selection activeCell="K13" sqref="K13"/>
    </sheetView>
  </sheetViews>
  <sheetFormatPr defaultRowHeight="15" x14ac:dyDescent="0.25"/>
  <cols>
    <col min="1" max="1" width="2.7109375" customWidth="1"/>
    <col min="2" max="2" width="8.7109375" customWidth="1"/>
    <col min="3" max="3" width="13.42578125" customWidth="1"/>
    <col min="4" max="4" width="9.140625" customWidth="1"/>
    <col min="5" max="5" width="16.5703125" customWidth="1"/>
    <col min="6" max="6" width="7" customWidth="1"/>
    <col min="7" max="7" width="13" customWidth="1"/>
    <col min="8" max="8" width="9.42578125" customWidth="1"/>
    <col min="9" max="9" width="9.5703125" customWidth="1"/>
    <col min="10" max="10" width="11.140625" customWidth="1"/>
    <col min="12" max="12" width="9.140625" customWidth="1"/>
    <col min="13" max="13" width="6.140625" bestFit="1" customWidth="1"/>
    <col min="14" max="14" width="12" bestFit="1" customWidth="1"/>
    <col min="15" max="15" width="59.28515625" bestFit="1" customWidth="1"/>
    <col min="16" max="16" width="28.140625" bestFit="1" customWidth="1"/>
    <col min="17" max="17" width="4.5703125" bestFit="1" customWidth="1"/>
    <col min="18" max="29" width="9.140625" customWidth="1"/>
  </cols>
  <sheetData>
    <row r="1" spans="1:28" ht="15" customHeight="1" x14ac:dyDescent="0.25">
      <c r="A1" s="74"/>
      <c r="B1" s="75"/>
      <c r="C1" s="78"/>
      <c r="D1" s="78"/>
      <c r="E1" s="71" t="s">
        <v>51</v>
      </c>
      <c r="F1" s="71"/>
      <c r="G1" s="71"/>
      <c r="H1" s="71"/>
      <c r="I1" s="71"/>
      <c r="J1" s="71"/>
    </row>
    <row r="2" spans="1:28" ht="15.75" thickBot="1" x14ac:dyDescent="0.3">
      <c r="A2" s="76"/>
      <c r="B2" s="77"/>
      <c r="C2" s="78"/>
      <c r="D2" s="78"/>
      <c r="E2" s="71"/>
      <c r="F2" s="71"/>
      <c r="G2" s="71"/>
      <c r="H2" s="71"/>
      <c r="I2" s="71"/>
      <c r="J2" s="71"/>
    </row>
    <row r="3" spans="1:28" ht="34.5" customHeight="1" thickBot="1" x14ac:dyDescent="0.3">
      <c r="A3" s="79" t="s">
        <v>47</v>
      </c>
      <c r="B3" s="80"/>
      <c r="C3" s="81"/>
      <c r="D3" s="82"/>
      <c r="E3" s="71"/>
      <c r="F3" s="71"/>
      <c r="G3" s="71"/>
      <c r="H3" s="71"/>
      <c r="I3" s="71"/>
      <c r="J3" s="71"/>
    </row>
    <row r="4" spans="1:28" ht="15.75" thickBot="1" x14ac:dyDescent="0.3">
      <c r="A4" s="83" t="s">
        <v>0</v>
      </c>
      <c r="B4" s="84"/>
      <c r="C4" s="68">
        <f>VENDAS_PCP!C4</f>
        <v>0</v>
      </c>
      <c r="D4" s="22" t="s">
        <v>1</v>
      </c>
      <c r="E4" s="61">
        <f>VENDAS_PCP!E4</f>
        <v>0</v>
      </c>
      <c r="F4" s="22" t="s">
        <v>2</v>
      </c>
      <c r="G4" s="68">
        <f>VENDAS_PCP!G4</f>
        <v>0</v>
      </c>
      <c r="H4" s="70" t="s">
        <v>3</v>
      </c>
      <c r="I4" s="70"/>
      <c r="J4" s="23">
        <f>VENDAS_PCP!J4</f>
        <v>0</v>
      </c>
    </row>
    <row r="5" spans="1:28" ht="6" customHeight="1" thickBot="1" x14ac:dyDescent="0.3">
      <c r="A5" s="24"/>
      <c r="B5" s="25"/>
      <c r="C5" s="25"/>
      <c r="D5" s="25"/>
      <c r="E5" s="25"/>
      <c r="F5" s="25"/>
      <c r="G5" s="25"/>
      <c r="H5" s="25"/>
      <c r="I5" s="25"/>
      <c r="J5" s="25"/>
    </row>
    <row r="6" spans="1:28" ht="15.75" thickBot="1" x14ac:dyDescent="0.3">
      <c r="A6" s="83" t="s">
        <v>4</v>
      </c>
      <c r="B6" s="84"/>
      <c r="C6" s="84">
        <f>VENDAS_PCP!C6</f>
        <v>0</v>
      </c>
      <c r="D6" s="84"/>
      <c r="E6" s="84"/>
      <c r="F6" s="70" t="s">
        <v>6</v>
      </c>
      <c r="G6" s="70"/>
      <c r="H6" s="72">
        <f>VENDAS_PCP!H6</f>
        <v>0</v>
      </c>
      <c r="I6" s="72"/>
      <c r="J6" s="73"/>
    </row>
    <row r="7" spans="1:28" ht="15.75" thickBot="1" x14ac:dyDescent="0.3">
      <c r="A7" s="83" t="s">
        <v>7</v>
      </c>
      <c r="B7" s="84"/>
      <c r="C7" s="105">
        <f>VENDAS_PCP!C7</f>
        <v>0</v>
      </c>
      <c r="D7" s="105"/>
      <c r="E7" s="105"/>
      <c r="F7" s="105"/>
      <c r="G7" s="105"/>
      <c r="H7" s="105"/>
      <c r="I7" s="105"/>
      <c r="J7" s="106"/>
    </row>
    <row r="8" spans="1:28" ht="15.75" thickBot="1" x14ac:dyDescent="0.3">
      <c r="A8" s="96" t="s">
        <v>8</v>
      </c>
      <c r="B8" s="97"/>
      <c r="C8" s="165">
        <f>VENDAS_PCP!C8</f>
        <v>0</v>
      </c>
      <c r="D8" s="165"/>
      <c r="E8" s="165"/>
      <c r="F8" s="165"/>
      <c r="G8" s="11" t="s">
        <v>9</v>
      </c>
      <c r="H8" s="88">
        <f>VENDAS_PCP!H8</f>
        <v>0</v>
      </c>
      <c r="I8" s="88"/>
      <c r="J8" s="89"/>
      <c r="AA8" s="145"/>
      <c r="AB8" s="145"/>
    </row>
    <row r="9" spans="1:28" ht="15.75" thickBot="1" x14ac:dyDescent="0.3">
      <c r="A9" s="96" t="s">
        <v>5</v>
      </c>
      <c r="B9" s="97"/>
      <c r="C9" s="116">
        <f>VENDAS_PCP!C9</f>
        <v>0</v>
      </c>
      <c r="D9" s="116"/>
      <c r="E9" s="116"/>
      <c r="F9" s="116"/>
      <c r="G9" s="116"/>
      <c r="H9" s="95" t="s">
        <v>12</v>
      </c>
      <c r="I9" s="95"/>
      <c r="J9" s="2" t="str">
        <f>VENDAS_PCP!J9</f>
        <v>FOB</v>
      </c>
      <c r="AA9" s="145"/>
      <c r="AB9" s="145"/>
    </row>
    <row r="10" spans="1:28" ht="6" customHeight="1" thickBot="1" x14ac:dyDescent="0.3">
      <c r="A10" s="15"/>
      <c r="B10" s="6"/>
      <c r="C10" s="4"/>
      <c r="D10" s="4"/>
      <c r="E10" s="4"/>
      <c r="F10" s="4"/>
      <c r="G10" s="4"/>
      <c r="H10" s="1"/>
      <c r="I10" s="1"/>
      <c r="J10" s="2"/>
      <c r="AA10" s="145"/>
      <c r="AB10" s="145"/>
    </row>
    <row r="11" spans="1:28" ht="5.25" customHeight="1" thickBot="1" x14ac:dyDescent="0.3">
      <c r="A11" s="7"/>
      <c r="B11" s="8"/>
      <c r="C11" s="4"/>
      <c r="D11" s="4"/>
      <c r="E11" s="4"/>
      <c r="F11" s="5"/>
      <c r="G11" s="13"/>
      <c r="H11" s="13"/>
      <c r="I11" s="13"/>
      <c r="J11" s="14"/>
      <c r="AA11" s="145"/>
      <c r="AB11" s="145"/>
    </row>
    <row r="12" spans="1:28" ht="15.75" thickBot="1" x14ac:dyDescent="0.3">
      <c r="A12" s="9"/>
      <c r="B12" s="12" t="s">
        <v>21</v>
      </c>
      <c r="C12" s="96" t="s">
        <v>17</v>
      </c>
      <c r="D12" s="97"/>
      <c r="E12" s="103"/>
      <c r="F12" s="169" t="s">
        <v>41</v>
      </c>
      <c r="G12" s="170"/>
      <c r="H12" s="16" t="s">
        <v>23</v>
      </c>
      <c r="I12" s="18" t="s">
        <v>18</v>
      </c>
      <c r="J12" s="20" t="s">
        <v>24</v>
      </c>
      <c r="AA12" s="145"/>
      <c r="AB12" s="145"/>
    </row>
    <row r="13" spans="1:28" ht="15.75" thickBot="1" x14ac:dyDescent="0.3">
      <c r="A13" s="10">
        <v>1</v>
      </c>
      <c r="B13" s="59">
        <f>VENDAS_PCP!B18</f>
        <v>0</v>
      </c>
      <c r="C13" s="157" t="str">
        <f>IFERROR(VLOOKUP(B13:B56,#REF!,2,0),"")</f>
        <v/>
      </c>
      <c r="D13" s="158"/>
      <c r="E13" s="159"/>
      <c r="F13" s="146" t="str">
        <f>IFERROR(VLOOKUP(B13,N180:P184,3,0),"")</f>
        <v/>
      </c>
      <c r="G13" s="147"/>
      <c r="H13" s="3">
        <f>VENDAS_PCP!F18</f>
        <v>0</v>
      </c>
      <c r="I13" s="30">
        <f>VENDAS_PCP!G18</f>
        <v>0</v>
      </c>
      <c r="J13" s="29">
        <f>VENDAS_PCP!H18</f>
        <v>0</v>
      </c>
    </row>
    <row r="14" spans="1:28" ht="15.75" thickBot="1" x14ac:dyDescent="0.3">
      <c r="A14" s="146" t="s">
        <v>42</v>
      </c>
      <c r="B14" s="147"/>
      <c r="C14" s="64"/>
      <c r="D14" s="35" t="s">
        <v>43</v>
      </c>
      <c r="E14" s="62"/>
      <c r="F14" s="9" t="s">
        <v>44</v>
      </c>
      <c r="G14" s="2"/>
      <c r="H14" s="3">
        <f>H13</f>
        <v>0</v>
      </c>
      <c r="I14" s="148"/>
      <c r="J14" s="149"/>
    </row>
    <row r="15" spans="1:28" ht="4.5" customHeight="1" thickBot="1" x14ac:dyDescent="0.3">
      <c r="A15" s="7"/>
      <c r="B15" s="31"/>
      <c r="C15" s="33"/>
      <c r="D15" s="34"/>
      <c r="E15" s="32"/>
      <c r="F15" s="9"/>
      <c r="G15" s="2"/>
      <c r="H15" s="3"/>
      <c r="I15" s="36"/>
      <c r="J15" s="37"/>
    </row>
    <row r="16" spans="1:28" ht="15.75" thickBot="1" x14ac:dyDescent="0.3">
      <c r="A16" s="38">
        <v>2</v>
      </c>
      <c r="B16" s="58">
        <f>VENDAS_PCP!B19</f>
        <v>0</v>
      </c>
      <c r="C16" s="166" t="str">
        <f>IFERROR(VLOOKUP(B13:B56,#REF!,2,0),"")</f>
        <v/>
      </c>
      <c r="D16" s="167"/>
      <c r="E16" s="168"/>
      <c r="F16" s="150" t="str">
        <f>IFERROR(VLOOKUP(B16,N180:P188,3,0),"")</f>
        <v/>
      </c>
      <c r="G16" s="171"/>
      <c r="H16" s="53">
        <f>VENDAS_PCP!F19</f>
        <v>0</v>
      </c>
      <c r="I16" s="39">
        <f>VENDAS_PCP!G19</f>
        <v>0</v>
      </c>
      <c r="J16" s="45">
        <f>VENDAS_PCP!H19</f>
        <v>0</v>
      </c>
    </row>
    <row r="17" spans="1:10" ht="15.75" customHeight="1" thickBot="1" x14ac:dyDescent="0.3">
      <c r="A17" s="150" t="s">
        <v>42</v>
      </c>
      <c r="B17" s="151"/>
      <c r="C17" s="65"/>
      <c r="D17" s="40" t="s">
        <v>43</v>
      </c>
      <c r="E17" s="63"/>
      <c r="F17" s="66" t="s">
        <v>44</v>
      </c>
      <c r="G17" s="44"/>
      <c r="H17" s="44">
        <f>H16</f>
        <v>0</v>
      </c>
      <c r="I17" s="152"/>
      <c r="J17" s="153"/>
    </row>
    <row r="18" spans="1:10" ht="4.5" customHeight="1" thickBot="1" x14ac:dyDescent="0.3">
      <c r="A18" s="7"/>
      <c r="B18" s="31"/>
      <c r="C18" s="33"/>
      <c r="D18" s="34"/>
      <c r="E18" s="32"/>
      <c r="F18" s="9"/>
      <c r="G18" s="67"/>
      <c r="H18" s="3"/>
      <c r="I18" s="36"/>
      <c r="J18" s="37"/>
    </row>
    <row r="19" spans="1:10" ht="15.95" customHeight="1" thickBot="1" x14ac:dyDescent="0.3">
      <c r="A19" s="10">
        <v>3</v>
      </c>
      <c r="B19" s="59" t="str">
        <f>VENDAS_PCP!B20</f>
        <v>;</v>
      </c>
      <c r="C19" s="157" t="str">
        <f>IFERROR(VLOOKUP(B13:B56,#REF!,2,0),"")</f>
        <v/>
      </c>
      <c r="D19" s="158"/>
      <c r="E19" s="159"/>
      <c r="F19" s="146" t="str">
        <f>IFERROR(VLOOKUP(B19,N180:P188,3,0),"")</f>
        <v/>
      </c>
      <c r="G19" s="147"/>
      <c r="H19" s="3">
        <f>VENDAS_PCP!F20</f>
        <v>0</v>
      </c>
      <c r="I19" s="30">
        <f>VENDAS_PCP!G20</f>
        <v>0</v>
      </c>
      <c r="J19" s="29">
        <f>VENDAS_PCP!H20</f>
        <v>0</v>
      </c>
    </row>
    <row r="20" spans="1:10" ht="15.95" customHeight="1" thickBot="1" x14ac:dyDescent="0.3">
      <c r="A20" s="146" t="s">
        <v>42</v>
      </c>
      <c r="B20" s="147"/>
      <c r="C20" s="55"/>
      <c r="D20" s="35" t="s">
        <v>43</v>
      </c>
      <c r="E20" s="56"/>
      <c r="F20" s="9" t="s">
        <v>44</v>
      </c>
      <c r="G20" s="2"/>
      <c r="H20" s="3">
        <f>H19</f>
        <v>0</v>
      </c>
      <c r="I20" s="148"/>
      <c r="J20" s="149"/>
    </row>
    <row r="21" spans="1:10" ht="4.5" customHeight="1" thickBot="1" x14ac:dyDescent="0.3">
      <c r="A21" s="7"/>
      <c r="B21" s="31"/>
      <c r="C21" s="33"/>
      <c r="D21" s="34"/>
      <c r="E21" s="32"/>
      <c r="F21" s="9"/>
      <c r="G21" s="2"/>
      <c r="H21" s="3"/>
      <c r="I21" s="36"/>
      <c r="J21" s="37"/>
    </row>
    <row r="22" spans="1:10" ht="15.95" customHeight="1" thickBot="1" x14ac:dyDescent="0.3">
      <c r="A22" s="38">
        <v>4</v>
      </c>
      <c r="B22" s="58">
        <f>VENDAS_PCP!B21</f>
        <v>0</v>
      </c>
      <c r="C22" s="154" t="str">
        <f>IFERROR(VLOOKUP(B13:B56,#REF!,2,0),"")</f>
        <v/>
      </c>
      <c r="D22" s="155"/>
      <c r="E22" s="156"/>
      <c r="F22" s="163" t="str">
        <f>IFERROR(VLOOKUP(B22,N180:P186,3,0),"")</f>
        <v/>
      </c>
      <c r="G22" s="164"/>
      <c r="H22" s="53">
        <f>VENDAS_PCP!F21</f>
        <v>0</v>
      </c>
      <c r="I22" s="39">
        <f>VENDAS_PCP!G21</f>
        <v>0</v>
      </c>
      <c r="J22" s="45">
        <f>VENDAS_PCP!H21</f>
        <v>0</v>
      </c>
    </row>
    <row r="23" spans="1:10" ht="15.95" customHeight="1" thickBot="1" x14ac:dyDescent="0.3">
      <c r="A23" s="150" t="s">
        <v>42</v>
      </c>
      <c r="B23" s="151"/>
      <c r="C23" s="40"/>
      <c r="D23" s="41" t="s">
        <v>43</v>
      </c>
      <c r="E23" s="42"/>
      <c r="F23" s="43" t="s">
        <v>44</v>
      </c>
      <c r="G23" s="44"/>
      <c r="H23" s="53">
        <f>H22</f>
        <v>0</v>
      </c>
      <c r="I23" s="152"/>
      <c r="J23" s="153"/>
    </row>
    <row r="24" spans="1:10" ht="4.5" customHeight="1" thickBot="1" x14ac:dyDescent="0.3">
      <c r="A24" s="7"/>
      <c r="B24" s="31"/>
      <c r="C24" s="33"/>
      <c r="D24" s="34"/>
      <c r="E24" s="32"/>
      <c r="F24" s="9"/>
      <c r="G24" s="2"/>
      <c r="H24" s="3"/>
      <c r="I24" s="36"/>
      <c r="J24" s="37"/>
    </row>
    <row r="25" spans="1:10" ht="15.95" customHeight="1" thickBot="1" x14ac:dyDescent="0.3">
      <c r="A25" s="10">
        <v>5</v>
      </c>
      <c r="B25" s="59">
        <f>VENDAS_PCP!B22</f>
        <v>0</v>
      </c>
      <c r="C25" s="157" t="str">
        <f>IFERROR(VLOOKUP(B13:B56,#REF!,2,0),"")</f>
        <v/>
      </c>
      <c r="D25" s="158"/>
      <c r="E25" s="159"/>
      <c r="F25" s="115" t="str">
        <f>IFERROR(VLOOKUP(B25,N180:P188,3,0),"")</f>
        <v/>
      </c>
      <c r="G25" s="117"/>
      <c r="H25" s="3">
        <f>VENDAS_PCP!F22</f>
        <v>0</v>
      </c>
      <c r="I25" s="30">
        <f>VENDAS_PCP!G22</f>
        <v>0</v>
      </c>
      <c r="J25" s="29">
        <f>VENDAS_PCP!H22</f>
        <v>0</v>
      </c>
    </row>
    <row r="26" spans="1:10" ht="15.95" customHeight="1" thickBot="1" x14ac:dyDescent="0.3">
      <c r="A26" s="146" t="s">
        <v>42</v>
      </c>
      <c r="B26" s="147"/>
      <c r="C26" s="33"/>
      <c r="D26" s="35" t="s">
        <v>43</v>
      </c>
      <c r="E26" s="32"/>
      <c r="F26" s="9" t="s">
        <v>44</v>
      </c>
      <c r="G26" s="2"/>
      <c r="H26" s="3">
        <f>H25</f>
        <v>0</v>
      </c>
      <c r="I26" s="148"/>
      <c r="J26" s="149"/>
    </row>
    <row r="27" spans="1:10" ht="4.5" customHeight="1" thickBot="1" x14ac:dyDescent="0.3">
      <c r="A27" s="7"/>
      <c r="B27" s="31"/>
      <c r="C27" s="33"/>
      <c r="D27" s="34"/>
      <c r="E27" s="32"/>
      <c r="F27" s="9"/>
      <c r="G27" s="2"/>
      <c r="H27" s="3"/>
      <c r="I27" s="36"/>
      <c r="J27" s="37"/>
    </row>
    <row r="28" spans="1:10" ht="15.75" thickBot="1" x14ac:dyDescent="0.3">
      <c r="A28" s="38">
        <v>6</v>
      </c>
      <c r="B28" s="69">
        <f>VENDAS_PCP!B23</f>
        <v>0</v>
      </c>
      <c r="C28" s="154" t="str">
        <f>IFERROR(VLOOKUP(B13:B56,#REF!,2,0),"")</f>
        <v/>
      </c>
      <c r="D28" s="155"/>
      <c r="E28" s="156"/>
      <c r="F28" s="163" t="str">
        <f>IFERROR(VLOOKUP(B28,N180:P186,3,0),"")</f>
        <v/>
      </c>
      <c r="G28" s="164"/>
      <c r="H28" s="53">
        <f>VENDAS_PCP!F23</f>
        <v>0</v>
      </c>
      <c r="I28" s="39">
        <f>VENDAS_PCP!G23</f>
        <v>0</v>
      </c>
      <c r="J28" s="45">
        <f>VENDAS_PCP!H23</f>
        <v>0</v>
      </c>
    </row>
    <row r="29" spans="1:10" ht="15.75" thickBot="1" x14ac:dyDescent="0.3">
      <c r="A29" s="150" t="s">
        <v>42</v>
      </c>
      <c r="B29" s="151"/>
      <c r="C29" s="40"/>
      <c r="D29" s="41" t="s">
        <v>43</v>
      </c>
      <c r="E29" s="42"/>
      <c r="F29" s="43" t="s">
        <v>44</v>
      </c>
      <c r="G29" s="44"/>
      <c r="H29" s="53">
        <f>H28</f>
        <v>0</v>
      </c>
      <c r="I29" s="152"/>
      <c r="J29" s="153"/>
    </row>
    <row r="30" spans="1:10" ht="4.5" customHeight="1" thickBot="1" x14ac:dyDescent="0.3">
      <c r="A30" s="7"/>
      <c r="B30" s="31"/>
      <c r="C30" s="33"/>
      <c r="D30" s="34"/>
      <c r="E30" s="32"/>
      <c r="F30" s="9"/>
      <c r="G30" s="2"/>
      <c r="H30" s="3"/>
      <c r="I30" s="36"/>
      <c r="J30" s="37"/>
    </row>
    <row r="31" spans="1:10" ht="15.75" thickBot="1" x14ac:dyDescent="0.3">
      <c r="A31" s="10">
        <v>7</v>
      </c>
      <c r="B31" s="59">
        <f>VENDAS_PCP!B24</f>
        <v>0</v>
      </c>
      <c r="C31" s="157" t="str">
        <f>IFERROR(VLOOKUP(B13:B56,N180:O180,2,0),"")</f>
        <v/>
      </c>
      <c r="D31" s="158"/>
      <c r="E31" s="159"/>
      <c r="F31" s="115" t="str">
        <f>IFERROR(VLOOKUP(B31,N180:P192,3,0),"")</f>
        <v/>
      </c>
      <c r="G31" s="117"/>
      <c r="H31" s="3">
        <f>VENDAS_PCP!F24</f>
        <v>0</v>
      </c>
      <c r="I31" s="30">
        <f>VENDAS_PCP!G24</f>
        <v>0</v>
      </c>
      <c r="J31" s="29">
        <f>VENDAS_PCP!H24</f>
        <v>0</v>
      </c>
    </row>
    <row r="32" spans="1:10" ht="15.75" thickBot="1" x14ac:dyDescent="0.3">
      <c r="A32" s="146" t="s">
        <v>42</v>
      </c>
      <c r="B32" s="147"/>
      <c r="C32" s="33"/>
      <c r="D32" s="35" t="s">
        <v>43</v>
      </c>
      <c r="E32" s="32"/>
      <c r="F32" s="9" t="s">
        <v>44</v>
      </c>
      <c r="G32" s="2"/>
      <c r="H32" s="3">
        <f>H31</f>
        <v>0</v>
      </c>
      <c r="I32" s="148"/>
      <c r="J32" s="149"/>
    </row>
    <row r="33" spans="1:10" ht="4.5" customHeight="1" thickBot="1" x14ac:dyDescent="0.3">
      <c r="A33" s="7"/>
      <c r="B33" s="31"/>
      <c r="C33" s="33"/>
      <c r="D33" s="34"/>
      <c r="E33" s="32"/>
      <c r="F33" s="9"/>
      <c r="G33" s="2"/>
      <c r="H33" s="3"/>
      <c r="I33" s="36"/>
      <c r="J33" s="37"/>
    </row>
    <row r="34" spans="1:10" ht="15.75" thickBot="1" x14ac:dyDescent="0.3">
      <c r="A34" s="38">
        <v>8</v>
      </c>
      <c r="B34" s="58">
        <f>VENDAS_PCP!B25</f>
        <v>0</v>
      </c>
      <c r="C34" s="154" t="str">
        <f>IFERROR(VLOOKUP(B13:B56,N180:O181,2,0),"")</f>
        <v/>
      </c>
      <c r="D34" s="155"/>
      <c r="E34" s="156"/>
      <c r="F34" s="150" t="str">
        <f>IFERROR(VLOOKUP(B34,N180:P192,3,0),"")</f>
        <v/>
      </c>
      <c r="G34" s="151"/>
      <c r="H34" s="53">
        <f>VENDAS_PCP!F25</f>
        <v>0</v>
      </c>
      <c r="I34" s="39">
        <f>VENDAS_PCP!G25</f>
        <v>0</v>
      </c>
      <c r="J34" s="45">
        <f>VENDAS_PCP!H25</f>
        <v>0</v>
      </c>
    </row>
    <row r="35" spans="1:10" ht="15.75" thickBot="1" x14ac:dyDescent="0.3">
      <c r="A35" s="150" t="s">
        <v>42</v>
      </c>
      <c r="B35" s="151"/>
      <c r="C35" s="40"/>
      <c r="D35" s="41" t="s">
        <v>43</v>
      </c>
      <c r="E35" s="42"/>
      <c r="F35" s="43" t="s">
        <v>44</v>
      </c>
      <c r="G35" s="44"/>
      <c r="H35" s="53">
        <f>H34</f>
        <v>0</v>
      </c>
      <c r="I35" s="152"/>
      <c r="J35" s="153"/>
    </row>
    <row r="36" spans="1:10" ht="4.5" customHeight="1" thickBot="1" x14ac:dyDescent="0.3">
      <c r="A36" s="7"/>
      <c r="B36" s="31"/>
      <c r="C36" s="33"/>
      <c r="D36" s="34"/>
      <c r="E36" s="32"/>
      <c r="F36" s="9"/>
      <c r="G36" s="2"/>
      <c r="H36" s="3"/>
      <c r="I36" s="36"/>
      <c r="J36" s="37"/>
    </row>
    <row r="37" spans="1:10" ht="15.75" thickBot="1" x14ac:dyDescent="0.3">
      <c r="A37" s="10">
        <v>9</v>
      </c>
      <c r="B37" s="59">
        <f>VENDAS_PCP!B26</f>
        <v>0</v>
      </c>
      <c r="C37" s="157" t="str">
        <f>IFERROR(VLOOKUP(B13:B56,N180:O182,2,0),"")</f>
        <v/>
      </c>
      <c r="D37" s="158"/>
      <c r="E37" s="159"/>
      <c r="F37" s="146" t="str">
        <f>IFERROR(VLOOKUP(B37,N180:P188,3,0),"")</f>
        <v/>
      </c>
      <c r="G37" s="147"/>
      <c r="H37" s="3">
        <f>VENDAS_PCP!F26</f>
        <v>0</v>
      </c>
      <c r="I37" s="30">
        <f>VENDAS_PCP!G26</f>
        <v>0</v>
      </c>
      <c r="J37" s="29">
        <f>VENDAS_PCP!H26</f>
        <v>0</v>
      </c>
    </row>
    <row r="38" spans="1:10" ht="15.75" thickBot="1" x14ac:dyDescent="0.3">
      <c r="A38" s="146" t="s">
        <v>42</v>
      </c>
      <c r="B38" s="147"/>
      <c r="C38" s="33"/>
      <c r="D38" s="35" t="s">
        <v>43</v>
      </c>
      <c r="E38" s="32"/>
      <c r="F38" s="9" t="s">
        <v>44</v>
      </c>
      <c r="G38" s="2"/>
      <c r="H38" s="3">
        <f>H37</f>
        <v>0</v>
      </c>
      <c r="I38" s="148"/>
      <c r="J38" s="149"/>
    </row>
    <row r="39" spans="1:10" ht="4.5" customHeight="1" thickBot="1" x14ac:dyDescent="0.3">
      <c r="A39" s="7"/>
      <c r="B39" s="31"/>
      <c r="C39" s="33"/>
      <c r="D39" s="34"/>
      <c r="E39" s="32"/>
      <c r="F39" s="9"/>
      <c r="G39" s="2"/>
      <c r="H39" s="3"/>
      <c r="I39" s="36"/>
      <c r="J39" s="37"/>
    </row>
    <row r="40" spans="1:10" ht="15.75" thickBot="1" x14ac:dyDescent="0.3">
      <c r="A40" s="38">
        <v>10</v>
      </c>
      <c r="B40" s="58">
        <f>VENDAS_PCP!B27</f>
        <v>0</v>
      </c>
      <c r="C40" s="160" t="str">
        <f>IFERROR(VLOOKUP(B13:B56,N180:O183,2,0),"")</f>
        <v/>
      </c>
      <c r="D40" s="161"/>
      <c r="E40" s="162"/>
      <c r="F40" s="150" t="str">
        <f>IFERROR(VLOOKUP(B40,N180:P196,3,0),"")</f>
        <v/>
      </c>
      <c r="G40" s="151"/>
      <c r="H40" s="53">
        <f>VENDAS_PCP!F27</f>
        <v>0</v>
      </c>
      <c r="I40" s="39">
        <f>VENDAS_PCP!G27</f>
        <v>0</v>
      </c>
      <c r="J40" s="45">
        <f>VENDAS_PCP!H27</f>
        <v>0</v>
      </c>
    </row>
    <row r="41" spans="1:10" ht="15.75" thickBot="1" x14ac:dyDescent="0.3">
      <c r="A41" s="150" t="s">
        <v>42</v>
      </c>
      <c r="B41" s="151"/>
      <c r="C41" s="40"/>
      <c r="D41" s="41" t="s">
        <v>43</v>
      </c>
      <c r="E41" s="42"/>
      <c r="F41" s="43" t="s">
        <v>44</v>
      </c>
      <c r="G41" s="44"/>
      <c r="H41" s="53">
        <f>H40</f>
        <v>0</v>
      </c>
      <c r="I41" s="152"/>
      <c r="J41" s="153"/>
    </row>
    <row r="42" spans="1:10" ht="4.5" customHeight="1" thickBot="1" x14ac:dyDescent="0.3">
      <c r="A42" s="7"/>
      <c r="B42" s="31"/>
      <c r="C42" s="33"/>
      <c r="D42" s="34"/>
      <c r="E42" s="32"/>
      <c r="F42" s="9"/>
      <c r="G42" s="2"/>
      <c r="H42" s="3"/>
      <c r="I42" s="36"/>
      <c r="J42" s="37"/>
    </row>
    <row r="43" spans="1:10" ht="15.75" thickBot="1" x14ac:dyDescent="0.3">
      <c r="A43" s="10">
        <v>11</v>
      </c>
      <c r="B43" s="59">
        <f>VENDAS_PCP!B28</f>
        <v>0</v>
      </c>
      <c r="C43" s="157" t="str">
        <f>IFERROR(VLOOKUP(B13:B56,N180:O184,2,0),"")</f>
        <v/>
      </c>
      <c r="D43" s="158"/>
      <c r="E43" s="159"/>
      <c r="F43" s="146" t="str">
        <f>IFERROR(VLOOKUP(B43,N180:P193,3,0),"")</f>
        <v/>
      </c>
      <c r="G43" s="147"/>
      <c r="H43" s="3">
        <f>VENDAS_PCP!F28</f>
        <v>0</v>
      </c>
      <c r="I43" s="30">
        <f>VENDAS_PCP!G28</f>
        <v>0</v>
      </c>
      <c r="J43" s="29">
        <f>VENDAS_PCP!H28</f>
        <v>0</v>
      </c>
    </row>
    <row r="44" spans="1:10" ht="15.75" thickBot="1" x14ac:dyDescent="0.3">
      <c r="A44" s="146" t="s">
        <v>42</v>
      </c>
      <c r="B44" s="147"/>
      <c r="C44" s="33"/>
      <c r="D44" s="35" t="s">
        <v>43</v>
      </c>
      <c r="E44" s="32"/>
      <c r="F44" s="9" t="s">
        <v>44</v>
      </c>
      <c r="G44" s="2"/>
      <c r="H44" s="3">
        <f>H43</f>
        <v>0</v>
      </c>
      <c r="I44" s="148"/>
      <c r="J44" s="149"/>
    </row>
    <row r="45" spans="1:10" ht="4.5" customHeight="1" thickBot="1" x14ac:dyDescent="0.3">
      <c r="A45" s="7"/>
      <c r="B45" s="31"/>
      <c r="C45" s="33"/>
      <c r="D45" s="34"/>
      <c r="E45" s="32"/>
      <c r="F45" s="9"/>
      <c r="G45" s="2"/>
      <c r="H45" s="3"/>
      <c r="I45" s="36"/>
      <c r="J45" s="37"/>
    </row>
    <row r="46" spans="1:10" ht="15.75" thickBot="1" x14ac:dyDescent="0.3">
      <c r="A46" s="38">
        <v>12</v>
      </c>
      <c r="B46" s="58">
        <f>VENDAS_PCP!B29</f>
        <v>0</v>
      </c>
      <c r="C46" s="154" t="str">
        <f>IFERROR(VLOOKUP(B13:B56,N180:O185,2,0),"")</f>
        <v/>
      </c>
      <c r="D46" s="155"/>
      <c r="E46" s="156"/>
      <c r="F46" s="150" t="str">
        <f>IFERROR(VLOOKUP(B46,N180:P197,3,0),"")</f>
        <v/>
      </c>
      <c r="G46" s="151"/>
      <c r="H46" s="53">
        <f>VENDAS_PCP!F29</f>
        <v>0</v>
      </c>
      <c r="I46" s="39">
        <f>VENDAS_PCP!G29</f>
        <v>0</v>
      </c>
      <c r="J46" s="45">
        <f>VENDAS_PCP!H29</f>
        <v>0</v>
      </c>
    </row>
    <row r="47" spans="1:10" ht="15.75" thickBot="1" x14ac:dyDescent="0.3">
      <c r="A47" s="150" t="s">
        <v>42</v>
      </c>
      <c r="B47" s="151"/>
      <c r="C47" s="40"/>
      <c r="D47" s="41" t="s">
        <v>43</v>
      </c>
      <c r="E47" s="42"/>
      <c r="F47" s="43" t="s">
        <v>44</v>
      </c>
      <c r="G47" s="44"/>
      <c r="H47" s="53">
        <f>H46</f>
        <v>0</v>
      </c>
      <c r="I47" s="152"/>
      <c r="J47" s="153"/>
    </row>
    <row r="48" spans="1:10" ht="4.5" customHeight="1" thickBot="1" x14ac:dyDescent="0.3">
      <c r="A48" s="7"/>
      <c r="B48" s="31"/>
      <c r="C48" s="33"/>
      <c r="D48" s="34"/>
      <c r="E48" s="32"/>
      <c r="F48" s="9"/>
      <c r="G48" s="2"/>
      <c r="H48" s="3"/>
      <c r="I48" s="36"/>
      <c r="J48" s="37"/>
    </row>
    <row r="49" spans="1:10" ht="15.75" thickBot="1" x14ac:dyDescent="0.3">
      <c r="A49" s="10">
        <v>13</v>
      </c>
      <c r="B49" s="59">
        <f>VENDAS_PCP!B30</f>
        <v>0</v>
      </c>
      <c r="C49" s="157" t="str">
        <f>IFERROR(VLOOKUP(B49:B56,N180:O186,2,0),"")</f>
        <v/>
      </c>
      <c r="D49" s="158"/>
      <c r="E49" s="159"/>
      <c r="F49" s="146" t="str">
        <f>IFERROR(VLOOKUP(B49,N180:P189,3,0),"")</f>
        <v/>
      </c>
      <c r="G49" s="147"/>
      <c r="H49" s="3">
        <f>VENDAS_PCP!F30</f>
        <v>0</v>
      </c>
      <c r="I49" s="30">
        <f>VENDAS_PCP!G30</f>
        <v>0</v>
      </c>
      <c r="J49" s="29">
        <f>VENDAS_PCP!H30</f>
        <v>0</v>
      </c>
    </row>
    <row r="50" spans="1:10" ht="15.75" thickBot="1" x14ac:dyDescent="0.3">
      <c r="A50" s="146" t="s">
        <v>42</v>
      </c>
      <c r="B50" s="147"/>
      <c r="C50" s="33"/>
      <c r="D50" s="35" t="s">
        <v>43</v>
      </c>
      <c r="E50" s="32"/>
      <c r="F50" s="9" t="s">
        <v>44</v>
      </c>
      <c r="G50" s="2"/>
      <c r="H50" s="3">
        <f>H49</f>
        <v>0</v>
      </c>
      <c r="I50" s="148"/>
      <c r="J50" s="149"/>
    </row>
    <row r="51" spans="1:10" ht="4.5" customHeight="1" thickBot="1" x14ac:dyDescent="0.3">
      <c r="A51" s="7"/>
      <c r="B51" s="31"/>
      <c r="C51" s="33"/>
      <c r="D51" s="34"/>
      <c r="E51" s="32"/>
      <c r="F51" s="9"/>
      <c r="G51" s="2"/>
      <c r="H51" s="3"/>
      <c r="I51" s="36"/>
      <c r="J51" s="37"/>
    </row>
    <row r="52" spans="1:10" ht="15.75" thickBot="1" x14ac:dyDescent="0.3">
      <c r="A52" s="38">
        <v>14</v>
      </c>
      <c r="B52" s="58">
        <f>VENDAS_PCP!B31</f>
        <v>0</v>
      </c>
      <c r="C52" s="154" t="str">
        <f>IFERROR(VLOOKUP(B12:B56,N180:O187,2,0),"")</f>
        <v/>
      </c>
      <c r="D52" s="155"/>
      <c r="E52" s="156"/>
      <c r="F52" s="150" t="str">
        <f>IFERROR(VLOOKUP(B52,N180:P190,3,0),"")</f>
        <v/>
      </c>
      <c r="G52" s="151"/>
      <c r="H52" s="53">
        <f>VENDAS_PCP!F31</f>
        <v>0</v>
      </c>
      <c r="I52" s="39">
        <f>VENDAS_PCP!G31</f>
        <v>0</v>
      </c>
      <c r="J52" s="45">
        <f>VENDAS_PCP!H31</f>
        <v>0</v>
      </c>
    </row>
    <row r="53" spans="1:10" ht="15.75" thickBot="1" x14ac:dyDescent="0.3">
      <c r="A53" s="150" t="s">
        <v>42</v>
      </c>
      <c r="B53" s="151"/>
      <c r="C53" s="40"/>
      <c r="D53" s="41" t="s">
        <v>43</v>
      </c>
      <c r="E53" s="42"/>
      <c r="F53" s="43" t="s">
        <v>44</v>
      </c>
      <c r="G53" s="44"/>
      <c r="H53" s="53">
        <f>H52</f>
        <v>0</v>
      </c>
      <c r="I53" s="152"/>
      <c r="J53" s="153"/>
    </row>
    <row r="54" spans="1:10" ht="4.5" customHeight="1" thickBot="1" x14ac:dyDescent="0.3">
      <c r="A54" s="7"/>
      <c r="B54" s="31"/>
      <c r="C54" s="33"/>
      <c r="D54" s="34"/>
      <c r="E54" s="32"/>
      <c r="F54" s="9"/>
      <c r="G54" s="2"/>
      <c r="H54" s="3"/>
      <c r="I54" s="36"/>
      <c r="J54" s="37"/>
    </row>
    <row r="55" spans="1:10" ht="15.75" thickBot="1" x14ac:dyDescent="0.3">
      <c r="A55" s="10">
        <v>15</v>
      </c>
      <c r="B55" s="59">
        <f>VENDAS_PCP!B32</f>
        <v>0</v>
      </c>
      <c r="C55" s="157" t="str">
        <f>IFERROR(VLOOKUP(B13:B56,N180:O188,2,0),"")</f>
        <v/>
      </c>
      <c r="D55" s="158"/>
      <c r="E55" s="159"/>
      <c r="F55" s="146" t="str">
        <f>IFERROR(VLOOKUP(B55,N180:P196,3,0),"")</f>
        <v/>
      </c>
      <c r="G55" s="147"/>
      <c r="H55" s="3">
        <f>VENDAS_PCP!F32</f>
        <v>0</v>
      </c>
      <c r="I55" s="30">
        <f>VENDAS_PCP!G32</f>
        <v>0</v>
      </c>
      <c r="J55" s="29">
        <f>VENDAS_PCP!H32</f>
        <v>0</v>
      </c>
    </row>
    <row r="56" spans="1:10" ht="15.75" thickBot="1" x14ac:dyDescent="0.3">
      <c r="A56" s="146" t="s">
        <v>42</v>
      </c>
      <c r="B56" s="147"/>
      <c r="C56" s="33"/>
      <c r="D56" s="35" t="s">
        <v>43</v>
      </c>
      <c r="E56" s="32"/>
      <c r="F56" s="9" t="s">
        <v>44</v>
      </c>
      <c r="G56" s="2"/>
      <c r="H56" s="3">
        <f>H55</f>
        <v>0</v>
      </c>
      <c r="I56" s="148"/>
      <c r="J56" s="149"/>
    </row>
    <row r="57" spans="1:10" ht="12" customHeight="1" x14ac:dyDescent="0.25"/>
    <row r="58" spans="1:10" ht="15.75" thickBot="1" x14ac:dyDescent="0.3">
      <c r="A58" s="126" t="s">
        <v>33</v>
      </c>
      <c r="B58" s="126"/>
      <c r="C58" s="126"/>
      <c r="D58" s="78" t="s">
        <v>35</v>
      </c>
      <c r="E58" s="78"/>
      <c r="F58" s="126" t="s">
        <v>34</v>
      </c>
      <c r="G58" s="126"/>
      <c r="H58" s="78" t="s">
        <v>36</v>
      </c>
      <c r="I58" s="78"/>
      <c r="J58" s="78"/>
    </row>
    <row r="59" spans="1:10" ht="15.75" thickBot="1" x14ac:dyDescent="0.3">
      <c r="A59" s="126" t="s">
        <v>42</v>
      </c>
      <c r="B59" s="126"/>
      <c r="C59" s="115"/>
      <c r="D59" s="117"/>
    </row>
    <row r="60" spans="1:10" ht="15.75" thickBot="1" x14ac:dyDescent="0.3">
      <c r="A60" s="126" t="s">
        <v>45</v>
      </c>
      <c r="B60" s="126"/>
      <c r="C60" s="115"/>
      <c r="D60" s="117"/>
      <c r="E60" s="98" t="s">
        <v>39</v>
      </c>
      <c r="F60" s="95"/>
      <c r="G60" s="95"/>
      <c r="H60" s="95"/>
      <c r="I60" s="95"/>
      <c r="J60" s="99"/>
    </row>
    <row r="61" spans="1:10" ht="15.75" customHeight="1" thickBot="1" x14ac:dyDescent="0.3">
      <c r="E61" s="118">
        <f>VENDAS_PCP!E51</f>
        <v>0</v>
      </c>
      <c r="F61" s="172"/>
      <c r="G61" s="172"/>
      <c r="H61" s="172"/>
      <c r="I61" s="172"/>
      <c r="J61" s="173"/>
    </row>
    <row r="62" spans="1:10" ht="15.75" thickBot="1" x14ac:dyDescent="0.3">
      <c r="B62" s="3"/>
      <c r="C62" s="127" t="s">
        <v>37</v>
      </c>
      <c r="D62" s="126"/>
      <c r="E62" s="174"/>
      <c r="F62" s="175"/>
      <c r="G62" s="175"/>
      <c r="H62" s="175"/>
      <c r="I62" s="175"/>
      <c r="J62" s="176"/>
    </row>
    <row r="63" spans="1:10" ht="15.75" thickBot="1" x14ac:dyDescent="0.3">
      <c r="E63" s="174"/>
      <c r="F63" s="175"/>
      <c r="G63" s="175"/>
      <c r="H63" s="175"/>
      <c r="I63" s="175"/>
      <c r="J63" s="176"/>
    </row>
    <row r="64" spans="1:10" ht="15.75" thickBot="1" x14ac:dyDescent="0.3">
      <c r="B64" s="3"/>
      <c r="C64" s="127" t="s">
        <v>38</v>
      </c>
      <c r="D64" s="126"/>
      <c r="E64" s="177"/>
      <c r="F64" s="178"/>
      <c r="G64" s="178"/>
      <c r="H64" s="178"/>
      <c r="I64" s="178"/>
      <c r="J64" s="179"/>
    </row>
  </sheetData>
  <mergeCells count="94">
    <mergeCell ref="C62:D62"/>
    <mergeCell ref="E61:J64"/>
    <mergeCell ref="C64:D64"/>
    <mergeCell ref="A58:C58"/>
    <mergeCell ref="D58:E58"/>
    <mergeCell ref="F58:G58"/>
    <mergeCell ref="H58:J58"/>
    <mergeCell ref="E60:J60"/>
    <mergeCell ref="F46:G46"/>
    <mergeCell ref="F49:G49"/>
    <mergeCell ref="F52:G52"/>
    <mergeCell ref="F55:G55"/>
    <mergeCell ref="A35:B35"/>
    <mergeCell ref="C55:E55"/>
    <mergeCell ref="C46:E46"/>
    <mergeCell ref="C49:E49"/>
    <mergeCell ref="C52:E52"/>
    <mergeCell ref="F37:G37"/>
    <mergeCell ref="F25:G25"/>
    <mergeCell ref="F28:G28"/>
    <mergeCell ref="F31:G31"/>
    <mergeCell ref="F34:G34"/>
    <mergeCell ref="C19:E19"/>
    <mergeCell ref="C22:E22"/>
    <mergeCell ref="C25:E25"/>
    <mergeCell ref="C28:E28"/>
    <mergeCell ref="C31:E31"/>
    <mergeCell ref="C12:E12"/>
    <mergeCell ref="C13:E13"/>
    <mergeCell ref="C16:E16"/>
    <mergeCell ref="F12:G12"/>
    <mergeCell ref="F13:G13"/>
    <mergeCell ref="F16:G16"/>
    <mergeCell ref="A7:B7"/>
    <mergeCell ref="C7:J7"/>
    <mergeCell ref="A8:B8"/>
    <mergeCell ref="C8:F8"/>
    <mergeCell ref="H8:J8"/>
    <mergeCell ref="A14:B14"/>
    <mergeCell ref="I14:J14"/>
    <mergeCell ref="A9:B9"/>
    <mergeCell ref="C9:G9"/>
    <mergeCell ref="E1:J3"/>
    <mergeCell ref="A4:B4"/>
    <mergeCell ref="H4:I4"/>
    <mergeCell ref="A6:B6"/>
    <mergeCell ref="C6:E6"/>
    <mergeCell ref="F6:G6"/>
    <mergeCell ref="H6:J6"/>
    <mergeCell ref="H9:I9"/>
    <mergeCell ref="C1:D2"/>
    <mergeCell ref="A1:B2"/>
    <mergeCell ref="A3:B3"/>
    <mergeCell ref="C3:D3"/>
    <mergeCell ref="A17:B17"/>
    <mergeCell ref="I17:J17"/>
    <mergeCell ref="A20:B20"/>
    <mergeCell ref="I20:J20"/>
    <mergeCell ref="A23:B23"/>
    <mergeCell ref="I23:J23"/>
    <mergeCell ref="F19:G19"/>
    <mergeCell ref="F22:G22"/>
    <mergeCell ref="I41:J41"/>
    <mergeCell ref="A44:B44"/>
    <mergeCell ref="I44:J44"/>
    <mergeCell ref="A26:B26"/>
    <mergeCell ref="I26:J26"/>
    <mergeCell ref="A29:B29"/>
    <mergeCell ref="I29:J29"/>
    <mergeCell ref="A32:B32"/>
    <mergeCell ref="I32:J32"/>
    <mergeCell ref="C34:E34"/>
    <mergeCell ref="C37:E37"/>
    <mergeCell ref="C40:E40"/>
    <mergeCell ref="C43:E43"/>
    <mergeCell ref="F40:G40"/>
    <mergeCell ref="F43:G43"/>
    <mergeCell ref="I35:J35"/>
    <mergeCell ref="AA8:AB12"/>
    <mergeCell ref="A56:B56"/>
    <mergeCell ref="I56:J56"/>
    <mergeCell ref="A59:B59"/>
    <mergeCell ref="A60:B60"/>
    <mergeCell ref="C59:D59"/>
    <mergeCell ref="C60:D60"/>
    <mergeCell ref="A47:B47"/>
    <mergeCell ref="I47:J47"/>
    <mergeCell ref="A50:B50"/>
    <mergeCell ref="I50:J50"/>
    <mergeCell ref="A53:B53"/>
    <mergeCell ref="I53:J53"/>
    <mergeCell ref="A38:B38"/>
    <mergeCell ref="I38:J38"/>
    <mergeCell ref="A41:B41"/>
  </mergeCells>
  <dataValidations disablePrompts="1" count="1">
    <dataValidation type="list" allowBlank="1" showInputMessage="1" showErrorMessage="1" sqref="J9:J10" xr:uid="{28BDDA5C-4171-4682-8DD4-6EE42EF4E9E5}">
      <formula1>#REF!</formula1>
    </dataValidation>
  </dataValidation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VENDAS_PCP</vt:lpstr>
      <vt:lpstr>PRODUÇÃO</vt:lpstr>
      <vt:lpstr>PRODUÇÃO!Area_de_impressao</vt:lpstr>
      <vt:lpstr>VENDAS_PCP!Area_de_impressao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</dc:creator>
  <cp:lastModifiedBy>nyics shiah</cp:lastModifiedBy>
  <cp:lastPrinted>2025-08-21T12:34:30Z</cp:lastPrinted>
  <dcterms:created xsi:type="dcterms:W3CDTF">2025-03-11T17:03:22Z</dcterms:created>
  <dcterms:modified xsi:type="dcterms:W3CDTF">2025-10-15T18:10:54Z</dcterms:modified>
</cp:coreProperties>
</file>